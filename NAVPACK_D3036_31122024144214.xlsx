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tha.b\Desktop\"/>
    </mc:Choice>
  </mc:AlternateContent>
  <bookViews>
    <workbookView xWindow="0" yWindow="0" windowWidth="23040" windowHeight="7824" activeTab="2"/>
  </bookViews>
  <sheets>
    <sheet name="Fund" sheetId="1" r:id="rId1"/>
    <sheet name="NAV" sheetId="2" r:id="rId2"/>
    <sheet name="Position" sheetId="8" r:id="rId3"/>
    <sheet name="NAV Breakdown" sheetId="3" r:id="rId4"/>
    <sheet name="P&amp;L Breakdown" sheetId="5" r:id="rId5"/>
    <sheet name="Cash Position" sheetId="4" r:id="rId6"/>
    <sheet name="Impact Synthesis" sheetId="6" r:id="rId7"/>
    <sheet name="Impact Top Down" sheetId="7" r:id="rId8"/>
    <sheet name="Transactions" sheetId="9" r:id="rId9"/>
    <sheet name="Nav Adjusting Entries" sheetId="10" r:id="rId10"/>
    <sheet name="Exchange rates" sheetId="11" r:id="rId11"/>
    <sheet name="Fees Accruals" sheetId="12" r:id="rId12"/>
    <sheet name="Outstanding Items" sheetId="13" r:id="rId13"/>
    <sheet name="Share Class Hedging" sheetId="14" r:id="rId14"/>
    <sheet name="Collateral data " sheetId="15" r:id="rId15"/>
  </sheets>
  <definedNames>
    <definedName name="_xlnm._FilterDatabase" localSheetId="2" hidden="1">Position!$M$1:$BM$42</definedName>
  </definedNames>
  <calcPr calcId="152511"/>
</workbook>
</file>

<file path=xl/calcChain.xml><?xml version="1.0" encoding="utf-8"?>
<calcChain xmlns="http://schemas.openxmlformats.org/spreadsheetml/2006/main">
  <c r="BX32" i="8" l="1"/>
  <c r="BX30" i="8"/>
  <c r="BX29" i="8"/>
  <c r="BX28" i="8"/>
  <c r="BZ39" i="8"/>
  <c r="BZ40" i="8"/>
  <c r="BZ38" i="8"/>
  <c r="BX40" i="8"/>
  <c r="BX38" i="8"/>
  <c r="BX39" i="8"/>
  <c r="BX20" i="8"/>
  <c r="BN3" i="8"/>
  <c r="BN4" i="8"/>
  <c r="BN5" i="8"/>
  <c r="BN6" i="8"/>
  <c r="BN7" i="8"/>
  <c r="BN9" i="8"/>
  <c r="BN11" i="8"/>
  <c r="BN12" i="8"/>
  <c r="BN14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2" i="8"/>
  <c r="BO2" i="8" s="1"/>
  <c r="BO3" i="8"/>
  <c r="BO4" i="8"/>
  <c r="BO5" i="8"/>
  <c r="BO6" i="8"/>
  <c r="BO7" i="8"/>
  <c r="BO9" i="8"/>
  <c r="BO11" i="8"/>
  <c r="BO12" i="8"/>
  <c r="BO14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L17" i="8" l="1"/>
  <c r="BL18" i="8"/>
  <c r="BL19" i="8"/>
  <c r="BL20" i="8"/>
  <c r="BL21" i="8"/>
  <c r="BL22" i="8"/>
  <c r="BL23" i="8"/>
  <c r="BL24" i="8"/>
  <c r="BL25" i="8"/>
  <c r="BL26" i="8"/>
  <c r="BL27" i="8"/>
  <c r="BL28" i="8"/>
  <c r="BL29" i="8"/>
  <c r="BL30" i="8"/>
  <c r="BL31" i="8"/>
  <c r="BL32" i="8"/>
  <c r="BL33" i="8"/>
  <c r="BL34" i="8"/>
  <c r="BL35" i="8"/>
  <c r="BL36" i="8"/>
  <c r="BL37" i="8"/>
  <c r="BL38" i="8"/>
  <c r="BL39" i="8"/>
  <c r="BL40" i="8"/>
  <c r="BL41" i="8"/>
  <c r="BL16" i="8"/>
  <c r="BL3" i="8"/>
  <c r="BM3" i="8" s="1"/>
  <c r="BL4" i="8"/>
  <c r="BM4" i="8" s="1"/>
  <c r="BL5" i="8"/>
  <c r="BM5" i="8" s="1"/>
  <c r="BL6" i="8"/>
  <c r="BM6" i="8" s="1"/>
  <c r="BL7" i="8"/>
  <c r="BM7" i="8" s="1"/>
  <c r="BL9" i="8"/>
  <c r="BM9" i="8" s="1"/>
  <c r="BL11" i="8"/>
  <c r="BM11" i="8" s="1"/>
  <c r="BL12" i="8"/>
  <c r="BM12" i="8" s="1"/>
  <c r="BL14" i="8"/>
  <c r="BM14" i="8" s="1"/>
  <c r="BX23" i="8" s="1"/>
  <c r="BL2" i="8"/>
  <c r="BX21" i="8" l="1"/>
  <c r="BX5" i="8"/>
  <c r="BX22" i="8"/>
  <c r="BX24" i="8"/>
  <c r="BZ24" i="8"/>
  <c r="BZ21" i="8"/>
  <c r="BX13" i="8"/>
  <c r="BZ5" i="8" s="1"/>
  <c r="BZ13" i="8"/>
  <c r="BM2" i="8"/>
  <c r="BZ23" i="8"/>
  <c r="BX15" i="8"/>
  <c r="BZ7" i="8" s="1"/>
  <c r="BZ15" i="8"/>
  <c r="BX7" i="8"/>
  <c r="BX14" i="8"/>
  <c r="BZ6" i="8" s="1"/>
  <c r="BZ22" i="8"/>
  <c r="BZ14" i="8"/>
  <c r="BX6" i="8"/>
  <c r="BZ20" i="8" l="1"/>
  <c r="BZ25" i="8" s="1"/>
  <c r="BX25" i="8"/>
  <c r="BZ12" i="8"/>
  <c r="BZ17" i="8" s="1"/>
  <c r="BX4" i="8"/>
  <c r="BX9" i="8" s="1"/>
  <c r="BX12" i="8"/>
  <c r="BZ4" i="8" l="1"/>
  <c r="BZ9" i="8" s="1"/>
  <c r="BX17" i="8"/>
</calcChain>
</file>

<file path=xl/sharedStrings.xml><?xml version="1.0" encoding="utf-8"?>
<sst xmlns="http://schemas.openxmlformats.org/spreadsheetml/2006/main" count="7958" uniqueCount="1670">
  <si>
    <t>Fund Code</t>
  </si>
  <si>
    <t>Fund Description</t>
  </si>
  <si>
    <t>Fund Ccy</t>
  </si>
  <si>
    <t>Nav Date</t>
  </si>
  <si>
    <t>Previous Nav Date</t>
  </si>
  <si>
    <t>Nav Type</t>
  </si>
  <si>
    <t>Nav Status</t>
  </si>
  <si>
    <t>Extraction Timestamp</t>
  </si>
  <si>
    <t>Delivery Timestamp</t>
  </si>
  <si>
    <t>MF AccountingTimestamp</t>
  </si>
  <si>
    <t>D3036</t>
  </si>
  <si>
    <t>AAME-Tranq-Multi-Credit Strategy Fund</t>
  </si>
  <si>
    <t>EUR</t>
  </si>
  <si>
    <t>31/12/2024</t>
  </si>
  <si>
    <t>30/11/2024</t>
  </si>
  <si>
    <t>O</t>
  </si>
  <si>
    <t>T</t>
  </si>
  <si>
    <t>14/01/2025 14:42:10</t>
  </si>
  <si>
    <t>10/01/2025 14:15:04</t>
  </si>
  <si>
    <t>Fund ccy</t>
  </si>
  <si>
    <t>Share class ISIN</t>
  </si>
  <si>
    <t>Share class code</t>
  </si>
  <si>
    <t>Share class</t>
  </si>
  <si>
    <t>Share class ccy</t>
  </si>
  <si>
    <t>Nav per share fund ccy</t>
  </si>
  <si>
    <t>Nav per share share ccy</t>
  </si>
  <si>
    <t>Previous Nav per share ccy</t>
  </si>
  <si>
    <t>% NAV var sh ccy</t>
  </si>
  <si>
    <t>TNA /Share Fd ccy</t>
  </si>
  <si>
    <t>TNA /Share Sh ccy</t>
  </si>
  <si>
    <t>TNA/shr Fd ccy Prv NAV</t>
  </si>
  <si>
    <t>TNA/shr Sh ccy Prv NAV</t>
  </si>
  <si>
    <t>Shares outstanding</t>
  </si>
  <si>
    <t>Var Shares outstanding</t>
  </si>
  <si>
    <t>Div ex-date</t>
  </si>
  <si>
    <t>Div unit Fd ccy</t>
  </si>
  <si>
    <t>Exchange rate</t>
  </si>
  <si>
    <t>Published Nav/share share ccy</t>
  </si>
  <si>
    <t>Swung price</t>
  </si>
  <si>
    <t>QS000212C648</t>
  </si>
  <si>
    <t>A</t>
  </si>
  <si>
    <t>Classe A</t>
  </si>
  <si>
    <t>N</t>
  </si>
  <si>
    <t>TOTAL</t>
  </si>
  <si>
    <t>Nav code description</t>
  </si>
  <si>
    <t>Account description</t>
  </si>
  <si>
    <t>Market value Fd ccy</t>
  </si>
  <si>
    <t>% TNA Fd ccy</t>
  </si>
  <si>
    <t>Market value fd ccy Prev nav</t>
  </si>
  <si>
    <t>Var Amounts</t>
  </si>
  <si>
    <t>Variation TNA %</t>
  </si>
  <si>
    <t>Nav code</t>
  </si>
  <si>
    <t>Account number</t>
  </si>
  <si>
    <t>EQUITIES PORTFOLIO</t>
  </si>
  <si>
    <t>Equities - Book cost</t>
  </si>
  <si>
    <t>1</t>
  </si>
  <si>
    <t>300100</t>
  </si>
  <si>
    <t>Equities - value adj. (A)</t>
  </si>
  <si>
    <t>303100</t>
  </si>
  <si>
    <t>Sub Total</t>
  </si>
  <si>
    <t>BONDS PORTFOLIO</t>
  </si>
  <si>
    <t>Bonds - Book cost</t>
  </si>
  <si>
    <t>11</t>
  </si>
  <si>
    <t>300200</t>
  </si>
  <si>
    <t>Bonds - Unrealised (A)</t>
  </si>
  <si>
    <t>303200</t>
  </si>
  <si>
    <t>Bonds - Amort. auto acc.(EY)</t>
  </si>
  <si>
    <t>303201</t>
  </si>
  <si>
    <t>UCITS PORTFOLIO</t>
  </si>
  <si>
    <t>UCITs - Book cost</t>
  </si>
  <si>
    <t>31</t>
  </si>
  <si>
    <t>300400</t>
  </si>
  <si>
    <t>UCITS - Unrealised (A)</t>
  </si>
  <si>
    <t>303400</t>
  </si>
  <si>
    <t>FORWARD EXCHANGE CONTRACTS</t>
  </si>
  <si>
    <t>Forward - Unrealised (A)</t>
  </si>
  <si>
    <t>121</t>
  </si>
  <si>
    <t>311200</t>
  </si>
  <si>
    <t>CASH AT SIGHT</t>
  </si>
  <si>
    <t>Cash at sight</t>
  </si>
  <si>
    <t>201</t>
  </si>
  <si>
    <t>510100</t>
  </si>
  <si>
    <t>LOAN DEPOSIT</t>
  </si>
  <si>
    <t>Loans - Corporate</t>
  </si>
  <si>
    <t>221</t>
  </si>
  <si>
    <t>350111</t>
  </si>
  <si>
    <t>Loans - Corporate  value adj</t>
  </si>
  <si>
    <t>350112</t>
  </si>
  <si>
    <t>CALL DEPOSIT</t>
  </si>
  <si>
    <t>Margin account</t>
  </si>
  <si>
    <t>231</t>
  </si>
  <si>
    <t>510500</t>
  </si>
  <si>
    <t>RECEIVABLE ON INCOME BONDS</t>
  </si>
  <si>
    <t>Accrued income bonds (A)</t>
  </si>
  <si>
    <t>401</t>
  </si>
  <si>
    <t>412200</t>
  </si>
  <si>
    <t>Loans - Accrued int./senior</t>
  </si>
  <si>
    <t>412202</t>
  </si>
  <si>
    <t>RECEIVABLE CASH</t>
  </si>
  <si>
    <t>Receivable cash</t>
  </si>
  <si>
    <t>421</t>
  </si>
  <si>
    <t>403100</t>
  </si>
  <si>
    <t>FUND DIVIDEND PAYABLE</t>
  </si>
  <si>
    <t>A - Final dividends payable</t>
  </si>
  <si>
    <t>511</t>
  </si>
  <si>
    <t>470107</t>
  </si>
  <si>
    <t>ACCRUED FEES</t>
  </si>
  <si>
    <t>Management Fees (A)</t>
  </si>
  <si>
    <t>601</t>
  </si>
  <si>
    <t>480100</t>
  </si>
  <si>
    <t>Management fees (M)</t>
  </si>
  <si>
    <t>480200</t>
  </si>
  <si>
    <t>Custody fees (A)</t>
  </si>
  <si>
    <t>480500</t>
  </si>
  <si>
    <t>Custody transaction fees (A)</t>
  </si>
  <si>
    <t>480510</t>
  </si>
  <si>
    <t>Custody transaction fees (M)</t>
  </si>
  <si>
    <t>480511</t>
  </si>
  <si>
    <t>Custody safekeeping fees (A)</t>
  </si>
  <si>
    <t>480520</t>
  </si>
  <si>
    <t>Custody safekeeping fees (M)</t>
  </si>
  <si>
    <t>480521</t>
  </si>
  <si>
    <t>Custody fees (M)</t>
  </si>
  <si>
    <t>480600</t>
  </si>
  <si>
    <t>Solvency Report fees (A)</t>
  </si>
  <si>
    <t>481302</t>
  </si>
  <si>
    <t>Professional fees (A)</t>
  </si>
  <si>
    <t>481408</t>
  </si>
  <si>
    <t>Professional fees (M)</t>
  </si>
  <si>
    <t>481409</t>
  </si>
  <si>
    <t>Solvency Report fees (M)</t>
  </si>
  <si>
    <t>481442</t>
  </si>
  <si>
    <t>MLRO fees (A)</t>
  </si>
  <si>
    <t>482231</t>
  </si>
  <si>
    <t>Financial regulator fees (M)</t>
  </si>
  <si>
    <t>482240</t>
  </si>
  <si>
    <t>MLRO fees (M)</t>
  </si>
  <si>
    <t>482241</t>
  </si>
  <si>
    <t>Vat service fees (M)</t>
  </si>
  <si>
    <t>482252</t>
  </si>
  <si>
    <t>Operating fees (A)</t>
  </si>
  <si>
    <t>482400</t>
  </si>
  <si>
    <t>Operating fees  (M)</t>
  </si>
  <si>
    <t>482500</t>
  </si>
  <si>
    <t>Administration fees (A)</t>
  </si>
  <si>
    <t>482800</t>
  </si>
  <si>
    <t>Secretarial fees (A)</t>
  </si>
  <si>
    <t>482803</t>
  </si>
  <si>
    <t>FATCA investor services (A)</t>
  </si>
  <si>
    <t>482806</t>
  </si>
  <si>
    <t>Audit fees (A)</t>
  </si>
  <si>
    <t>482818</t>
  </si>
  <si>
    <t>AIFMD fees (A)</t>
  </si>
  <si>
    <t>482819</t>
  </si>
  <si>
    <t>Annex IV Reporting (A)</t>
  </si>
  <si>
    <t>482845</t>
  </si>
  <si>
    <t>Administration fees (M)</t>
  </si>
  <si>
    <t>482900</t>
  </si>
  <si>
    <t>Secretarial fees (M)</t>
  </si>
  <si>
    <t>482903</t>
  </si>
  <si>
    <t>FATCA investor services (M)</t>
  </si>
  <si>
    <t>482904</t>
  </si>
  <si>
    <t>Audit fees (M)</t>
  </si>
  <si>
    <t>482918</t>
  </si>
  <si>
    <t>AIFMD fees (M)</t>
  </si>
  <si>
    <t>482919</t>
  </si>
  <si>
    <t>Annex IV Reporting (M)</t>
  </si>
  <si>
    <t>482945</t>
  </si>
  <si>
    <t>Compliance fees (M)</t>
  </si>
  <si>
    <t>484100</t>
  </si>
  <si>
    <t>Legal fees (A)</t>
  </si>
  <si>
    <t>484200</t>
  </si>
  <si>
    <t>Legal fees (M)</t>
  </si>
  <si>
    <t>484300</t>
  </si>
  <si>
    <t>Director fees (A)</t>
  </si>
  <si>
    <t>485440</t>
  </si>
  <si>
    <t>Director insurance fees (A)</t>
  </si>
  <si>
    <t>485442</t>
  </si>
  <si>
    <t>Director fees (M)</t>
  </si>
  <si>
    <t>485450</t>
  </si>
  <si>
    <t>485451</t>
  </si>
  <si>
    <t>Director insurance fees (M)</t>
  </si>
  <si>
    <t>485452</t>
  </si>
  <si>
    <t>VAT services (A)</t>
  </si>
  <si>
    <t>485522</t>
  </si>
  <si>
    <t>A - financial reg. fees (A)</t>
  </si>
  <si>
    <t>485560</t>
  </si>
  <si>
    <t>Transaction charges</t>
  </si>
  <si>
    <t>485900</t>
  </si>
  <si>
    <t>Transaction charges (M)</t>
  </si>
  <si>
    <t>486000</t>
  </si>
  <si>
    <t>Transfer agent fees (M)</t>
  </si>
  <si>
    <t>486200</t>
  </si>
  <si>
    <t>Directors Payroll (A)</t>
  </si>
  <si>
    <t>486304</t>
  </si>
  <si>
    <t>Directors Payroll (M)</t>
  </si>
  <si>
    <t>486404</t>
  </si>
  <si>
    <t>Apollo - Ops, risk, tax - (A)</t>
  </si>
  <si>
    <t>487602</t>
  </si>
  <si>
    <t>Apollo - Ops, risk, tax - (M)</t>
  </si>
  <si>
    <t>487603</t>
  </si>
  <si>
    <t>Total</t>
  </si>
  <si>
    <t>Suffix</t>
  </si>
  <si>
    <t>Account ccy</t>
  </si>
  <si>
    <t>Balance in Account ccy</t>
  </si>
  <si>
    <t>Balance in Account ccy - prior</t>
  </si>
  <si>
    <t>Var amount local ccy</t>
  </si>
  <si>
    <t>Var %</t>
  </si>
  <si>
    <t>Balance in fund ccy</t>
  </si>
  <si>
    <t>Balance in fund ccy - prior</t>
  </si>
  <si>
    <t>Var amount fund ccy</t>
  </si>
  <si>
    <t>Var%</t>
  </si>
  <si>
    <t>Contract nb</t>
  </si>
  <si>
    <t>2</t>
  </si>
  <si>
    <t>Cash at sight DE - BP2S LUXEMBOURG</t>
  </si>
  <si>
    <t>41</t>
  </si>
  <si>
    <t>GBP</t>
  </si>
  <si>
    <t>USD</t>
  </si>
  <si>
    <t>Margin account</t>
  </si>
  <si>
    <t>Cash accounts</t>
  </si>
  <si>
    <t>Receivable Payable accounts</t>
  </si>
  <si>
    <t>0</t>
  </si>
  <si>
    <t>Receivable cash</t>
  </si>
  <si>
    <t>A - Final dividends payable</t>
  </si>
  <si>
    <t>Management Fees (A)</t>
  </si>
  <si>
    <t>Management fees (M)</t>
  </si>
  <si>
    <t>Custody fees (A)</t>
  </si>
  <si>
    <t>Custody transaction fees (A)</t>
  </si>
  <si>
    <t>Custody transaction fees (M)</t>
  </si>
  <si>
    <t>Custody safekeeping fees (A)</t>
  </si>
  <si>
    <t>Custody safekeeping fees (M)</t>
  </si>
  <si>
    <t>Custody fees (M)</t>
  </si>
  <si>
    <t>Solvency Report fees (A)</t>
  </si>
  <si>
    <t>Professional fees (A)</t>
  </si>
  <si>
    <t>Professional fees (M)</t>
  </si>
  <si>
    <t>Solvency Report fees (M)</t>
  </si>
  <si>
    <t>MLRO fees (A)</t>
  </si>
  <si>
    <t>Financial regulator fees (M)</t>
  </si>
  <si>
    <t>MLRO fees (M)</t>
  </si>
  <si>
    <t>Vat service fees (M)</t>
  </si>
  <si>
    <t>Operating fees (A)</t>
  </si>
  <si>
    <t>Operating fees  (M)</t>
  </si>
  <si>
    <t>Administration fees (A)</t>
  </si>
  <si>
    <t>Secretarial fees (A)</t>
  </si>
  <si>
    <t>FATCA investor services (A)</t>
  </si>
  <si>
    <t>Audit fees (A)</t>
  </si>
  <si>
    <t>AIFMD fees (A)</t>
  </si>
  <si>
    <t>Annex IV Reporting (A)</t>
  </si>
  <si>
    <t>Administration fees (M)</t>
  </si>
  <si>
    <t>Secretarial fees (M)</t>
  </si>
  <si>
    <t>FATCA investor services (M)</t>
  </si>
  <si>
    <t>Audit fees (M)</t>
  </si>
  <si>
    <t>AIFMD fees (M)</t>
  </si>
  <si>
    <t>Annex IV Reporting (M)</t>
  </si>
  <si>
    <t>Compliance fees (M)</t>
  </si>
  <si>
    <t>Legal fees (A)</t>
  </si>
  <si>
    <t>Legal fees (M)</t>
  </si>
  <si>
    <t>Director fees (A)</t>
  </si>
  <si>
    <t>Director insurance fees (A)</t>
  </si>
  <si>
    <t>Director fees (M)</t>
  </si>
  <si>
    <t>Director insurance fees (M)</t>
  </si>
  <si>
    <t>VAT services (A)</t>
  </si>
  <si>
    <t>A - financial reg. fees (A)</t>
  </si>
  <si>
    <t>Transaction charges</t>
  </si>
  <si>
    <t>Transaction charges (M)</t>
  </si>
  <si>
    <t>Transfer agent fees (M)</t>
  </si>
  <si>
    <t>Directors Payroll (A)</t>
  </si>
  <si>
    <t>Directors Payroll (M)</t>
  </si>
  <si>
    <t>Apollo - Ops, risk, tax - (A)</t>
  </si>
  <si>
    <t>Apollo - Ops, risk, tax - (M)</t>
  </si>
  <si>
    <t>Account Rubric</t>
  </si>
  <si>
    <t>Rubric Description</t>
  </si>
  <si>
    <t>Account Number</t>
  </si>
  <si>
    <t>Account Description</t>
  </si>
  <si>
    <t>Balance</t>
  </si>
  <si>
    <t>Previous Balance</t>
  </si>
  <si>
    <t>Variation from Prior NAV</t>
  </si>
  <si>
    <t>Variation from Prior NAV %</t>
  </si>
  <si>
    <t>% Of TNA</t>
  </si>
  <si>
    <t>Impact on TNA (%)</t>
  </si>
  <si>
    <t>Other_impacts</t>
  </si>
  <si>
    <t>Other impacts in %</t>
  </si>
  <si>
    <t>Type of Mvt</t>
  </si>
  <si>
    <t>Manager Code</t>
  </si>
  <si>
    <t>Manager Description</t>
  </si>
  <si>
    <t>8000</t>
  </si>
  <si>
    <t>CAPITAL</t>
  </si>
  <si>
    <t>180660</t>
  </si>
  <si>
    <t>A - Subscriptions</t>
  </si>
  <si>
    <t>181660</t>
  </si>
  <si>
    <t>A - Redemptions</t>
  </si>
  <si>
    <t>8020</t>
  </si>
  <si>
    <t>INTEREST ON SECURITIES</t>
  </si>
  <si>
    <t>712200</t>
  </si>
  <si>
    <t>Bonds - Income</t>
  </si>
  <si>
    <t>712202</t>
  </si>
  <si>
    <t>Loans - Accrued income</t>
  </si>
  <si>
    <t>712203</t>
  </si>
  <si>
    <t>Loans -Accrued interest/corp.</t>
  </si>
  <si>
    <t>8030</t>
  </si>
  <si>
    <t>INTEREST ON CURRENT CASH ACCOU</t>
  </si>
  <si>
    <t>610100</t>
  </si>
  <si>
    <t>Interest charg. on cash at sig</t>
  </si>
  <si>
    <t>8050</t>
  </si>
  <si>
    <t>DIVIDENDS</t>
  </si>
  <si>
    <t>712100</t>
  </si>
  <si>
    <t>Income equities (dividends)</t>
  </si>
  <si>
    <t>8080</t>
  </si>
  <si>
    <t>FEES</t>
  </si>
  <si>
    <t>615200</t>
  </si>
  <si>
    <t>Fees on sale on portofolio</t>
  </si>
  <si>
    <t>619900</t>
  </si>
  <si>
    <t>Banking fees</t>
  </si>
  <si>
    <t>8090</t>
  </si>
  <si>
    <t>670100</t>
  </si>
  <si>
    <t>Management fees</t>
  </si>
  <si>
    <t>670500</t>
  </si>
  <si>
    <t>Custody fees</t>
  </si>
  <si>
    <t>670510</t>
  </si>
  <si>
    <t>Custody transaction fees</t>
  </si>
  <si>
    <t>670520</t>
  </si>
  <si>
    <t>Custody safekeeping fees</t>
  </si>
  <si>
    <t>671302</t>
  </si>
  <si>
    <t>Solvency Report fees</t>
  </si>
  <si>
    <t>671408</t>
  </si>
  <si>
    <t>Professional fees</t>
  </si>
  <si>
    <t>671602</t>
  </si>
  <si>
    <t>Apollo - Ops, risk, tax</t>
  </si>
  <si>
    <t>672242</t>
  </si>
  <si>
    <t>VAT services</t>
  </si>
  <si>
    <t>672260</t>
  </si>
  <si>
    <t>A - Financial regulator fees</t>
  </si>
  <si>
    <t>672280</t>
  </si>
  <si>
    <t>MLRO fees</t>
  </si>
  <si>
    <t>672400</t>
  </si>
  <si>
    <t>Operating fees</t>
  </si>
  <si>
    <t>672800</t>
  </si>
  <si>
    <t>Administration fees</t>
  </si>
  <si>
    <t>672803</t>
  </si>
  <si>
    <t>Secretarial fees</t>
  </si>
  <si>
    <t>672806</t>
  </si>
  <si>
    <t>FATCA investor services</t>
  </si>
  <si>
    <t>672818</t>
  </si>
  <si>
    <t>Audit fees</t>
  </si>
  <si>
    <t>672819</t>
  </si>
  <si>
    <t>AIFMD fee</t>
  </si>
  <si>
    <t>672855</t>
  </si>
  <si>
    <t>Annex IV Reporting</t>
  </si>
  <si>
    <t>674100</t>
  </si>
  <si>
    <t>Transaction fees</t>
  </si>
  <si>
    <t>674600</t>
  </si>
  <si>
    <t>Legal fees</t>
  </si>
  <si>
    <t>675004</t>
  </si>
  <si>
    <t>Directors Payroll</t>
  </si>
  <si>
    <t>675440</t>
  </si>
  <si>
    <t>Director fees</t>
  </si>
  <si>
    <t>675441</t>
  </si>
  <si>
    <t>Director insurance fees</t>
  </si>
  <si>
    <t>8100</t>
  </si>
  <si>
    <t>REALISED RESULT ON PORTFOLIO</t>
  </si>
  <si>
    <t>650203</t>
  </si>
  <si>
    <t>Loans - Realised losses/corp.</t>
  </si>
  <si>
    <t>750201</t>
  </si>
  <si>
    <t>Bonds - Real. profits (EY)</t>
  </si>
  <si>
    <t>750204</t>
  </si>
  <si>
    <t>Loans - Realised prfoits/corp.</t>
  </si>
  <si>
    <t>8110</t>
  </si>
  <si>
    <t>REALISED RESULT ON CURRENCY</t>
  </si>
  <si>
    <t>651500</t>
  </si>
  <si>
    <t>FWD - Realised spec losses</t>
  </si>
  <si>
    <t>652100</t>
  </si>
  <si>
    <t>Realised exchange losses</t>
  </si>
  <si>
    <t>653203</t>
  </si>
  <si>
    <t>Loans - Real. ex.losses./corp.</t>
  </si>
  <si>
    <t>751500</t>
  </si>
  <si>
    <t>Forward - Real. specul. Profit</t>
  </si>
  <si>
    <t>752100</t>
  </si>
  <si>
    <t>Realised exchange profits</t>
  </si>
  <si>
    <t>753202</t>
  </si>
  <si>
    <t>Loans - Real. ex.prof./corp.</t>
  </si>
  <si>
    <t>8120</t>
  </si>
  <si>
    <t>UNREALISED PROFITS AND LOSSES</t>
  </si>
  <si>
    <t>680100</t>
  </si>
  <si>
    <t>Equities - Unrealised loss</t>
  </si>
  <si>
    <t>680202</t>
  </si>
  <si>
    <t>Loans - Unreal.losses/corp.</t>
  </si>
  <si>
    <t>680400</t>
  </si>
  <si>
    <t>UCITS - Unrealised loss</t>
  </si>
  <si>
    <t>683201</t>
  </si>
  <si>
    <t>Loans - Unreal. exch. losses</t>
  </si>
  <si>
    <t>750251</t>
  </si>
  <si>
    <t>Bonds - U/r profit amo. (EY)</t>
  </si>
  <si>
    <t>780200</t>
  </si>
  <si>
    <t>Bonds - Unrealised profits</t>
  </si>
  <si>
    <t>780204</t>
  </si>
  <si>
    <t>Loans - Unreal.profits/corp.</t>
  </si>
  <si>
    <t>781200</t>
  </si>
  <si>
    <t>Forward - Unrealised profit</t>
  </si>
  <si>
    <t>783100</t>
  </si>
  <si>
    <t>Equities - Unreal.exch.profit</t>
  </si>
  <si>
    <t>783201</t>
  </si>
  <si>
    <t>Loans - Unreal. exch. profit</t>
  </si>
  <si>
    <t>783400</t>
  </si>
  <si>
    <t>UCITS - Unreal. exch.profit</t>
  </si>
  <si>
    <t>999998</t>
  </si>
  <si>
    <t>Cambio account (spot)</t>
  </si>
  <si>
    <t>8130</t>
  </si>
  <si>
    <t>PREVIOUS YEAR RESULT</t>
  </si>
  <si>
    <t>150100</t>
  </si>
  <si>
    <t>Net income Y - 1</t>
  </si>
  <si>
    <t>150200</t>
  </si>
  <si>
    <t>Net realized result Y - 1</t>
  </si>
  <si>
    <t>150300</t>
  </si>
  <si>
    <t>Net unrealized result Y - 1</t>
  </si>
  <si>
    <t>8150</t>
  </si>
  <si>
    <t>DISTRIBUTION SHARES</t>
  </si>
  <si>
    <t>143231</t>
  </si>
  <si>
    <t>A - Final dividend</t>
  </si>
  <si>
    <t>NAV Date</t>
  </si>
  <si>
    <t>TNA</t>
  </si>
  <si>
    <t>Variation</t>
  </si>
  <si>
    <t>TNA - Current</t>
  </si>
  <si>
    <t>TNA - Previous</t>
  </si>
  <si>
    <t>Summary Portfolio</t>
  </si>
  <si>
    <t>Var Unrealised g/l</t>
  </si>
  <si>
    <t>Market Impact</t>
  </si>
  <si>
    <t>Realised g/l</t>
  </si>
  <si>
    <t>Realised g/l Impact</t>
  </si>
  <si>
    <t>Var Int Accruals</t>
  </si>
  <si>
    <t>Var Int Accruals Impact</t>
  </si>
  <si>
    <t>Open Pos - Impact</t>
  </si>
  <si>
    <t>Closed Pos</t>
  </si>
  <si>
    <t>Closed Pos - Impact</t>
  </si>
  <si>
    <t>Total - Impact</t>
  </si>
  <si>
    <t>FOREIGN EXCHANGE FORWARD</t>
  </si>
  <si>
    <t>Hedging Assets</t>
  </si>
  <si>
    <t>Portfolio</t>
  </si>
  <si>
    <t>ADJ INTERESTS ON CLOSED POSITIONS - PRIOR</t>
  </si>
  <si>
    <t>COUPONS/DIVIDEND EX-DATE</t>
  </si>
  <si>
    <t>Income</t>
  </si>
  <si>
    <t>SPOT SETTLEMENTS</t>
  </si>
  <si>
    <t>Transactions</t>
  </si>
  <si>
    <t>Nav Adjusting Entries</t>
  </si>
  <si>
    <t>Other Impacts</t>
  </si>
  <si>
    <t>Control</t>
  </si>
  <si>
    <t>TOTAL TNA VAR / TOTAL PERF</t>
  </si>
  <si>
    <t>Identifier</t>
  </si>
  <si>
    <t>Contract number</t>
  </si>
  <si>
    <t>Asset desc.</t>
  </si>
  <si>
    <t>Asset ccy</t>
  </si>
  <si>
    <t>Total impact</t>
  </si>
  <si>
    <t>Market price</t>
  </si>
  <si>
    <t>Prev market Price</t>
  </si>
  <si>
    <t>% Var Market price</t>
  </si>
  <si>
    <t>Prev Exchange rate</t>
  </si>
  <si>
    <t>% Var Exch rate</t>
  </si>
  <si>
    <t>Service code</t>
  </si>
  <si>
    <t>QS0408898ATT</t>
  </si>
  <si>
    <t>SAFEBUILT T/L L+550 31/03/2025</t>
  </si>
  <si>
    <t>BO</t>
  </si>
  <si>
    <t>USDEUR190325663D3036</t>
  </si>
  <si>
    <t>663</t>
  </si>
  <si>
    <t>Purchase forward contract   Bought USD 1,160,000.00 Sold EUR 1,061,409.88</t>
  </si>
  <si>
    <t>FX</t>
  </si>
  <si>
    <t>QS0547507ATT</t>
  </si>
  <si>
    <t>RIVER PARK BRIDGE MTGE SO T/L 09/01/2025</t>
  </si>
  <si>
    <t>PTOTEKOE0011</t>
  </si>
  <si>
    <t>PORTUGUESE OTS 2.875% 15-15/10/2025</t>
  </si>
  <si>
    <t>FR001400FYQ4</t>
  </si>
  <si>
    <t>FRANCE O.A.T. 2.5% 23-24/09/2026</t>
  </si>
  <si>
    <t>FR0013200813</t>
  </si>
  <si>
    <t>FRANCE O.A.T. 0.25% 16-25/11/2026</t>
  </si>
  <si>
    <t>USDEUR190325668D3036</t>
  </si>
  <si>
    <t>668</t>
  </si>
  <si>
    <t>Purchase forward contract   Bought USD 50,000.00 Sold EUR 45,610.02</t>
  </si>
  <si>
    <t>USDEUR190325685D3036</t>
  </si>
  <si>
    <t>685</t>
  </si>
  <si>
    <t>Purchase forward contract   Bought USD 50,000.00 Sold EUR 47,312.27</t>
  </si>
  <si>
    <t>QS0479745ATT</t>
  </si>
  <si>
    <t>HAMSARD 3557 LIMITED C SHARES</t>
  </si>
  <si>
    <t>LARGEST POSITIVE IMPACTS</t>
  </si>
  <si>
    <t>LARGEST NEGATIVE IMPACTS</t>
  </si>
  <si>
    <t>QSLU51367032</t>
  </si>
  <si>
    <t>BAF LATAM CR FD CL B 0918</t>
  </si>
  <si>
    <t>EURUSD190325683D3036</t>
  </si>
  <si>
    <t>683</t>
  </si>
  <si>
    <t>Purchase forward contract   Bought EUR 3,387,319.72 Sold USD 3,590,000.00</t>
  </si>
  <si>
    <t>EURUSD190325679D3036</t>
  </si>
  <si>
    <t>679</t>
  </si>
  <si>
    <t>Purchase forward contract   Bought EUR 3,372,424.65 Sold USD 3,590,000.00</t>
  </si>
  <si>
    <t>EURUSD190325671D3036</t>
  </si>
  <si>
    <t>671</t>
  </si>
  <si>
    <t>Purchase forward contract   Bought EUR 3,330,247.37 Sold USD 3,590,000.00</t>
  </si>
  <si>
    <t>EURUSD190325673D3036</t>
  </si>
  <si>
    <t>673</t>
  </si>
  <si>
    <t>Purchase forward contract   Bought EUR 3,316,106.21 Sold USD 3,590,000.00</t>
  </si>
  <si>
    <t>EURUSD190325675D3036</t>
  </si>
  <si>
    <t>675</t>
  </si>
  <si>
    <t>Purchase forward contract   Bought EUR 3,314,565.26 Sold USD 3,590,000.00</t>
  </si>
  <si>
    <t>EURUSD190325665D3036</t>
  </si>
  <si>
    <t>665</t>
  </si>
  <si>
    <t>Purchase forward contract   Bought EUR 3,284,441.81 Sold USD 3,590,000.00</t>
  </si>
  <si>
    <t>EURUSD190325666D3036</t>
  </si>
  <si>
    <t>666</t>
  </si>
  <si>
    <t>Purchase forward contract   Bought EUR 3,270,504.42 Sold USD 3,590,000.00</t>
  </si>
  <si>
    <t>EURUSD190325669D3036</t>
  </si>
  <si>
    <t>669</t>
  </si>
  <si>
    <t>Purchase forward contract   Bought EUR 3,276,300.76 Sold USD 3,590,000.00</t>
  </si>
  <si>
    <t>FR0014003513</t>
  </si>
  <si>
    <t>FRANCE O.A.T. 0% 21-25/02/2027</t>
  </si>
  <si>
    <t>AT0000A1K9C8</t>
  </si>
  <si>
    <t>REP OF AUSTRIA 0.75% 16-20/10/2026</t>
  </si>
  <si>
    <t>DE0001141844</t>
  </si>
  <si>
    <t>BUNDESOBL-184 0% 21-09/10/2026</t>
  </si>
  <si>
    <t>EURGBP190325681D3036</t>
  </si>
  <si>
    <t>681</t>
  </si>
  <si>
    <t>Purchase forward contract   Bought EUR 9,558.56 Sold GBP 8,000.00</t>
  </si>
  <si>
    <t>EURGBP190325678D3036</t>
  </si>
  <si>
    <t>678</t>
  </si>
  <si>
    <t>Purchase forward contract   Bought EUR 9,545.88 Sold GBP 8,000.00</t>
  </si>
  <si>
    <t>Fund description</t>
  </si>
  <si>
    <t>Instrument Type</t>
  </si>
  <si>
    <t>MF GTI description</t>
  </si>
  <si>
    <t>ISIN code</t>
  </si>
  <si>
    <t>Valid ISIN (Y/N)</t>
  </si>
  <si>
    <t>Bloomberg code</t>
  </si>
  <si>
    <t>KTP code</t>
  </si>
  <si>
    <t>Client Code</t>
  </si>
  <si>
    <t>Underlying ISIN code</t>
  </si>
  <si>
    <t>Underlying asset desc.</t>
  </si>
  <si>
    <t>Maturity Date</t>
  </si>
  <si>
    <t>Quantity</t>
  </si>
  <si>
    <t>Quantity Var</t>
  </si>
  <si>
    <t>Face Value</t>
  </si>
  <si>
    <t>Price Date</t>
  </si>
  <si>
    <t>Unit cost sec ccy</t>
  </si>
  <si>
    <t>Interest rate in %</t>
  </si>
  <si>
    <t>Upfront Asset ccy</t>
  </si>
  <si>
    <t>Upfront Fund ccy</t>
  </si>
  <si>
    <t>Total Cost Asset ccy</t>
  </si>
  <si>
    <t>Total Cost Fund ccy</t>
  </si>
  <si>
    <t>Market value Asset ccy</t>
  </si>
  <si>
    <t>Market value Fund ccy</t>
  </si>
  <si>
    <t>Unreal P/L Stock</t>
  </si>
  <si>
    <t>Unreal P/L Forex</t>
  </si>
  <si>
    <t>Unrealised P/L fd ccy</t>
  </si>
  <si>
    <t>Var  Unreal P/L</t>
  </si>
  <si>
    <t>Realised G/L</t>
  </si>
  <si>
    <t>Acc int Asset ccy</t>
  </si>
  <si>
    <t>Acc int fd ccy</t>
  </si>
  <si>
    <t>Var Acc int fd ccy</t>
  </si>
  <si>
    <t>Adj int bought/sold</t>
  </si>
  <si>
    <t>Amortization yield</t>
  </si>
  <si>
    <t>Mrk value accr int asset ccy</t>
  </si>
  <si>
    <t>Mrk value accr int fd ccy</t>
  </si>
  <si>
    <t>% TNA</t>
  </si>
  <si>
    <t>Int/dvd impact</t>
  </si>
  <si>
    <t>Blank</t>
  </si>
  <si>
    <t>Quotation expression</t>
  </si>
  <si>
    <t>Clean/Dirty</t>
  </si>
  <si>
    <t>FWD / Option Sens</t>
  </si>
  <si>
    <t>Hedge Class code</t>
  </si>
  <si>
    <t>Counterparty</t>
  </si>
  <si>
    <t>Issuing country</t>
  </si>
  <si>
    <t>MF Internal sec number</t>
  </si>
  <si>
    <t>MF Manager code</t>
  </si>
  <si>
    <t>MF service code</t>
  </si>
  <si>
    <t>MF GTI code</t>
  </si>
  <si>
    <t>Depositary Code</t>
  </si>
  <si>
    <t>Re-investment flag</t>
  </si>
  <si>
    <t>Listed fixed rate government bond</t>
  </si>
  <si>
    <t>Y</t>
  </si>
  <si>
    <t>EK6943410</t>
  </si>
  <si>
    <t>15/10/2025</t>
  </si>
  <si>
    <t>01</t>
  </si>
  <si>
    <t>PT</t>
  </si>
  <si>
    <t>300280</t>
  </si>
  <si>
    <t>B31</t>
  </si>
  <si>
    <t>JK1275771</t>
  </si>
  <si>
    <t>20/10/2026</t>
  </si>
  <si>
    <t>AT</t>
  </si>
  <si>
    <t>331259</t>
  </si>
  <si>
    <t>QZ3583536</t>
  </si>
  <si>
    <t>25/11/2026</t>
  </si>
  <si>
    <t>FR</t>
  </si>
  <si>
    <t>349846</t>
  </si>
  <si>
    <t>BP1321176</t>
  </si>
  <si>
    <t>25/02/2027</t>
  </si>
  <si>
    <t>503709</t>
  </si>
  <si>
    <t>BQ3124923</t>
  </si>
  <si>
    <t>09/10/2026</t>
  </si>
  <si>
    <t>DE</t>
  </si>
  <si>
    <t>510704</t>
  </si>
  <si>
    <t>ZL0049946</t>
  </si>
  <si>
    <t>24/09/2026</t>
  </si>
  <si>
    <t>556986</t>
  </si>
  <si>
    <t>Unlisted common stock</t>
  </si>
  <si>
    <t>10047351</t>
  </si>
  <si>
    <t>00</t>
  </si>
  <si>
    <t>GB</t>
  </si>
  <si>
    <t>479745</t>
  </si>
  <si>
    <t>S02</t>
  </si>
  <si>
    <t>Corporate Loan</t>
  </si>
  <si>
    <t>10026931</t>
  </si>
  <si>
    <t>31/03/2025</t>
  </si>
  <si>
    <t>US</t>
  </si>
  <si>
    <t>408898</t>
  </si>
  <si>
    <t>BL6</t>
  </si>
  <si>
    <t>10063157</t>
  </si>
  <si>
    <t>09/01/2025</t>
  </si>
  <si>
    <t>547507</t>
  </si>
  <si>
    <t>Open ended - NOT LISTED HEDGE FUND  Other than EU</t>
  </si>
  <si>
    <t>10037472</t>
  </si>
  <si>
    <t>KY</t>
  </si>
  <si>
    <t>421968</t>
  </si>
  <si>
    <t>U80</t>
  </si>
  <si>
    <t>Foreign exchange forward</t>
  </si>
  <si>
    <t>APOLLO_31102024_182</t>
  </si>
  <si>
    <t>19/03/2025</t>
  </si>
  <si>
    <t>V</t>
  </si>
  <si>
    <t>DE - BP2S LUXEMBOURG</t>
  </si>
  <si>
    <t>APOLLO_29112024_866</t>
  </si>
  <si>
    <t>APOLLO_29112024_867</t>
  </si>
  <si>
    <t>APOLLO_29112024_869</t>
  </si>
  <si>
    <t>APOLLO_29112024_870</t>
  </si>
  <si>
    <t>APOLLO_29112024_872</t>
  </si>
  <si>
    <t>APOLLO_29112024_874</t>
  </si>
  <si>
    <t>APOLLO_29112024_876</t>
  </si>
  <si>
    <t>APOLLO_29112024_879</t>
  </si>
  <si>
    <t>APOLLO_29112024_880</t>
  </si>
  <si>
    <t>APOLLO_29112024_882</t>
  </si>
  <si>
    <t>APOLLO_29112024_884</t>
  </si>
  <si>
    <t>APOLLO_31122024_97</t>
  </si>
  <si>
    <t>Transaction Desc</t>
  </si>
  <si>
    <t>Name</t>
  </si>
  <si>
    <t>Trade Date</t>
  </si>
  <si>
    <t>Value Date</t>
  </si>
  <si>
    <t>Maturity date</t>
  </si>
  <si>
    <t>Status</t>
  </si>
  <si>
    <t>Settlement Ccy</t>
  </si>
  <si>
    <t>Price in Asset Ccy</t>
  </si>
  <si>
    <t>Settlement amount in Asset ccy</t>
  </si>
  <si>
    <t>Settlement amount in Fd ccy</t>
  </si>
  <si>
    <t>Interests/Div in Asset ccy</t>
  </si>
  <si>
    <t>Interests/Div in fd ccy</t>
  </si>
  <si>
    <t>Realised g/l in fd ccy</t>
  </si>
  <si>
    <t>Upfront Amount in Asset ccy</t>
  </si>
  <si>
    <t>Upfront Amount in Fd Ccy</t>
  </si>
  <si>
    <t>Prior Unreal gl - Closed Pos</t>
  </si>
  <si>
    <t>Transaction fees in Fd Ccy</t>
  </si>
  <si>
    <t>Internal Id</t>
  </si>
  <si>
    <t>Code Op</t>
  </si>
  <si>
    <t>Entry Nb</t>
  </si>
  <si>
    <t>Service Code</t>
  </si>
  <si>
    <t>Accounting Date</t>
  </si>
  <si>
    <t>Contract No</t>
  </si>
  <si>
    <t>Depositary code</t>
  </si>
  <si>
    <t>New position</t>
  </si>
  <si>
    <t>Leg Indicator</t>
  </si>
  <si>
    <t>Sale on stock market</t>
  </si>
  <si>
    <t>Validated</t>
  </si>
  <si>
    <t>1031</t>
  </si>
  <si>
    <t>HAMSARD 3558 TL L+500 T/L 30/06/2025</t>
  </si>
  <si>
    <t>18/12/2024</t>
  </si>
  <si>
    <t>30/06/2025</t>
  </si>
  <si>
    <t>QS0479742ATT</t>
  </si>
  <si>
    <t>479742</t>
  </si>
  <si>
    <t>1032</t>
  </si>
  <si>
    <t>HAMSARD 3558 RC L+1000 T/L 30/06/2025</t>
  </si>
  <si>
    <t>QS0479769ATT</t>
  </si>
  <si>
    <t>479769</t>
  </si>
  <si>
    <t>1033</t>
  </si>
  <si>
    <t>Bonds repayment</t>
  </si>
  <si>
    <t>BUNDESSCHATZANW 2.2% 22-12/12/2024</t>
  </si>
  <si>
    <t>12/12/2024</t>
  </si>
  <si>
    <t>DE0001104909</t>
  </si>
  <si>
    <t>547645</t>
  </si>
  <si>
    <t>206</t>
  </si>
  <si>
    <t>1029</t>
  </si>
  <si>
    <t>17/12/2024</t>
  </si>
  <si>
    <t>HAMSARD RC STBY A PIKSTUB T/L 30/06/2025</t>
  </si>
  <si>
    <t>QS0561095SEN</t>
  </si>
  <si>
    <t>561095</t>
  </si>
  <si>
    <t>1034</t>
  </si>
  <si>
    <t>Coupon payment</t>
  </si>
  <si>
    <t>071</t>
  </si>
  <si>
    <t>50</t>
  </si>
  <si>
    <t>CP</t>
  </si>
  <si>
    <t>Purchase forward contract</t>
  </si>
  <si>
    <t>03/12/2024</t>
  </si>
  <si>
    <t>050</t>
  </si>
  <si>
    <t>1320</t>
  </si>
  <si>
    <t>S</t>
  </si>
  <si>
    <t>B</t>
  </si>
  <si>
    <t>Foreign exchange repayment</t>
  </si>
  <si>
    <t>Foreign exchange repayment   D3036 634</t>
  </si>
  <si>
    <t>Matured</t>
  </si>
  <si>
    <t>634</t>
  </si>
  <si>
    <t>210</t>
  </si>
  <si>
    <t>1290</t>
  </si>
  <si>
    <t>Foreign exchange repayment D3036 634</t>
  </si>
  <si>
    <t>Foreign exchange repayment   D3036 636</t>
  </si>
  <si>
    <t>636</t>
  </si>
  <si>
    <t>1291</t>
  </si>
  <si>
    <t>Foreign exchange repayment D3036 636</t>
  </si>
  <si>
    <t>Foreign exchange repayment D3036 638</t>
  </si>
  <si>
    <t>638</t>
  </si>
  <si>
    <t>1300</t>
  </si>
  <si>
    <t>Foreign exchange repayment   D3036 638</t>
  </si>
  <si>
    <t>Foreign exchange repayment   D3036 639</t>
  </si>
  <si>
    <t>639</t>
  </si>
  <si>
    <t>1301</t>
  </si>
  <si>
    <t>Foreign exchange repayment D3036 639</t>
  </si>
  <si>
    <t>Foreign exchange repayment D3036 641</t>
  </si>
  <si>
    <t>641</t>
  </si>
  <si>
    <t>1292</t>
  </si>
  <si>
    <t>Foreign exchange repayment   D3036 641</t>
  </si>
  <si>
    <t>Foreign exchange repayment D3036 643</t>
  </si>
  <si>
    <t>643</t>
  </si>
  <si>
    <t>1293</t>
  </si>
  <si>
    <t>Foreign exchange repayment   D3036 643</t>
  </si>
  <si>
    <t>Foreign exchange repayment D3036 645</t>
  </si>
  <si>
    <t>645</t>
  </si>
  <si>
    <t>1294</t>
  </si>
  <si>
    <t>Foreign exchange repayment   D3036 645</t>
  </si>
  <si>
    <t>Foreign exchange repayment   D3036 648</t>
  </si>
  <si>
    <t>648</t>
  </si>
  <si>
    <t>1295</t>
  </si>
  <si>
    <t>Foreign exchange repayment D3036 648</t>
  </si>
  <si>
    <t>Foreign exchange repayment D3036 650</t>
  </si>
  <si>
    <t>650</t>
  </si>
  <si>
    <t>1296</t>
  </si>
  <si>
    <t>Foreign exchange repayment   D3036 650</t>
  </si>
  <si>
    <t>Foreign exchange repayment D3036 651</t>
  </si>
  <si>
    <t>651</t>
  </si>
  <si>
    <t>1297</t>
  </si>
  <si>
    <t>Foreign exchange repayment   D3036 651</t>
  </si>
  <si>
    <t>Foreign exchange repayment   D3036 653</t>
  </si>
  <si>
    <t>653</t>
  </si>
  <si>
    <t>1298</t>
  </si>
  <si>
    <t>Foreign exchange repayment D3036 653</t>
  </si>
  <si>
    <t>Foreign exchange repayment D3036 654</t>
  </si>
  <si>
    <t>654</t>
  </si>
  <si>
    <t>1299</t>
  </si>
  <si>
    <t>Foreign exchange repayment   D3036 654</t>
  </si>
  <si>
    <t>Foreign exchange repayment   D3036 655</t>
  </si>
  <si>
    <t>655</t>
  </si>
  <si>
    <t>1302</t>
  </si>
  <si>
    <t>Foreign exchange repayment D3036 655</t>
  </si>
  <si>
    <t>Foreign exchange repayment   D3036 656</t>
  </si>
  <si>
    <t>656</t>
  </si>
  <si>
    <t>1303</t>
  </si>
  <si>
    <t>Foreign exchange repayment D3036 656</t>
  </si>
  <si>
    <t>Foreign exchange repayment   D3036 657</t>
  </si>
  <si>
    <t>657</t>
  </si>
  <si>
    <t>1304</t>
  </si>
  <si>
    <t>Foreign exchange repayment D3036 657</t>
  </si>
  <si>
    <t>Foreign exchange repayment D3036 658</t>
  </si>
  <si>
    <t>658</t>
  </si>
  <si>
    <t>1306</t>
  </si>
  <si>
    <t>Foreign exchange repayment   D3036 658</t>
  </si>
  <si>
    <t>Foreign exchange repayment D3036 659</t>
  </si>
  <si>
    <t>659</t>
  </si>
  <si>
    <t>1314</t>
  </si>
  <si>
    <t>Foreign exchange repayment   D3036 659</t>
  </si>
  <si>
    <t>Foreign exchange repayment D3036 660</t>
  </si>
  <si>
    <t>660</t>
  </si>
  <si>
    <t>1305</t>
  </si>
  <si>
    <t>Foreign exchange repayment   D3036 660</t>
  </si>
  <si>
    <t>Foreign exchange repayment   D3036 661</t>
  </si>
  <si>
    <t>661</t>
  </si>
  <si>
    <t>1315</t>
  </si>
  <si>
    <t>Foreign exchange repayment D3036 661</t>
  </si>
  <si>
    <t>Foreign exchange repayment   D3036 662</t>
  </si>
  <si>
    <t>662</t>
  </si>
  <si>
    <t>1316</t>
  </si>
  <si>
    <t>Foreign exchange repayment D3036 662</t>
  </si>
  <si>
    <t>Foreign exchange repayment D3036 664</t>
  </si>
  <si>
    <t>664</t>
  </si>
  <si>
    <t>1317</t>
  </si>
  <si>
    <t>Foreign exchange repayment   D3036 664</t>
  </si>
  <si>
    <t>Foreign exchange repayment D3036 667</t>
  </si>
  <si>
    <t>667</t>
  </si>
  <si>
    <t>1318</t>
  </si>
  <si>
    <t>Foreign exchange repayment   D3036 667</t>
  </si>
  <si>
    <t>Foreign exchange repayment   D3036 670</t>
  </si>
  <si>
    <t>670</t>
  </si>
  <si>
    <t>1319</t>
  </si>
  <si>
    <t>Foreign exchange repayment D3036 670</t>
  </si>
  <si>
    <t>Foreign exchange repayment   D3036 672</t>
  </si>
  <si>
    <t>672</t>
  </si>
  <si>
    <t>1307</t>
  </si>
  <si>
    <t>Foreign exchange repayment D3036 672</t>
  </si>
  <si>
    <t>Foreign exchange repayment D3036 674</t>
  </si>
  <si>
    <t>674</t>
  </si>
  <si>
    <t>1308</t>
  </si>
  <si>
    <t>Foreign exchange repayment   D3036 674</t>
  </si>
  <si>
    <t>Foreign exchange repayment D3036 676</t>
  </si>
  <si>
    <t>676</t>
  </si>
  <si>
    <t>1309</t>
  </si>
  <si>
    <t>Foreign exchange repayment   D3036 676</t>
  </si>
  <si>
    <t>Foreign exchange repayment D3036 677</t>
  </si>
  <si>
    <t>677</t>
  </si>
  <si>
    <t>1310</t>
  </si>
  <si>
    <t>Foreign exchange repayment   D3036 677</t>
  </si>
  <si>
    <t>Foreign exchange repayment   D3036 680</t>
  </si>
  <si>
    <t>680</t>
  </si>
  <si>
    <t>1311</t>
  </si>
  <si>
    <t>Foreign exchange repayment D3036 680</t>
  </si>
  <si>
    <t>Foreign exchange repayment D3036 682</t>
  </si>
  <si>
    <t>682</t>
  </si>
  <si>
    <t>1312</t>
  </si>
  <si>
    <t>Foreign exchange repayment   D3036 682</t>
  </si>
  <si>
    <t>Foreign exchange repayment D3036 684</t>
  </si>
  <si>
    <t>684</t>
  </si>
  <si>
    <t>1313</t>
  </si>
  <si>
    <t>Foreign exchange repayment   D3036 684</t>
  </si>
  <si>
    <t>Purchase spot contract</t>
  </si>
  <si>
    <t>Purchase spot contract   Bought EUR 4,097.99 Sold USD 4,306.00</t>
  </si>
  <si>
    <t>332</t>
  </si>
  <si>
    <t>052</t>
  </si>
  <si>
    <t>FS</t>
  </si>
  <si>
    <t>Purchase spot contract   Bought EUR 44,789.15 Sold USD 47,101.18</t>
  </si>
  <si>
    <t>333</t>
  </si>
  <si>
    <t>DC/CR</t>
  </si>
  <si>
    <t>Amount in  fd ccy</t>
  </si>
  <si>
    <t>Account</t>
  </si>
  <si>
    <t>Entry nb</t>
  </si>
  <si>
    <t>Accounting date</t>
  </si>
  <si>
    <t>Manager code</t>
  </si>
  <si>
    <t>Noval</t>
  </si>
  <si>
    <t>RIVER PARK BRIDGE MTGE INTEREST</t>
  </si>
  <si>
    <t>CR</t>
  </si>
  <si>
    <t>3116</t>
  </si>
  <si>
    <t>SAFEBUILT TL INTEREST</t>
  </si>
  <si>
    <t>3118</t>
  </si>
  <si>
    <t>Hamsard zero quantity interest</t>
  </si>
  <si>
    <t>3146</t>
  </si>
  <si>
    <t>Month end interest EUR</t>
  </si>
  <si>
    <t>3111</t>
  </si>
  <si>
    <t>Month end interest GBP</t>
  </si>
  <si>
    <t>3112</t>
  </si>
  <si>
    <t>Collateral interest</t>
  </si>
  <si>
    <t>3113</t>
  </si>
  <si>
    <t>Month end interest USD</t>
  </si>
  <si>
    <t>3115</t>
  </si>
  <si>
    <t>rounding off</t>
  </si>
  <si>
    <t>3119</t>
  </si>
  <si>
    <t>RIVER PARK BRIDGE MTGE FEE</t>
  </si>
  <si>
    <t>DB</t>
  </si>
  <si>
    <t>3117</t>
  </si>
  <si>
    <t>Management fee correction</t>
  </si>
  <si>
    <t>3123</t>
  </si>
  <si>
    <t>Correction of prepaid fees</t>
  </si>
  <si>
    <t>3144</t>
  </si>
  <si>
    <t>Audit fee adjustment</t>
  </si>
  <si>
    <t>3110</t>
  </si>
  <si>
    <t>Director fees correction</t>
  </si>
  <si>
    <t>3145</t>
  </si>
  <si>
    <t>Fund Reference Currency</t>
  </si>
  <si>
    <t>CCY Code</t>
  </si>
  <si>
    <t>Exchange Rate Date</t>
  </si>
  <si>
    <t>Exchange Rate Vs Fund Ccy Rate</t>
  </si>
  <si>
    <t>Previous Exchange Rate Date</t>
  </si>
  <si>
    <t>Previous Exchange Rate</t>
  </si>
  <si>
    <t>% Variation</t>
  </si>
  <si>
    <t>Fd ccy</t>
  </si>
  <si>
    <t>Fee description</t>
  </si>
  <si>
    <t>Fee ccy</t>
  </si>
  <si>
    <t>Rate %</t>
  </si>
  <si>
    <t>Based amount</t>
  </si>
  <si>
    <t>Fixed amount</t>
  </si>
  <si>
    <t>Nb Days</t>
  </si>
  <si>
    <t>Provision amount fd ccy</t>
  </si>
  <si>
    <t>Total fee in fd ccy</t>
  </si>
  <si>
    <t>VAT Amount</t>
  </si>
  <si>
    <t>Total fee in fd ccy incl VAT</t>
  </si>
  <si>
    <t>Fee Code</t>
  </si>
  <si>
    <t>41016027</t>
  </si>
  <si>
    <t>41033529</t>
  </si>
  <si>
    <t>41041011</t>
  </si>
  <si>
    <t>DIRECTOR INSURANCE FEES</t>
  </si>
  <si>
    <t>41045527</t>
  </si>
  <si>
    <t>A - financial reg. fees</t>
  </si>
  <si>
    <t>41145528</t>
  </si>
  <si>
    <t>Amort.on incorp.costs</t>
  </si>
  <si>
    <t>41200026</t>
  </si>
  <si>
    <t>41242527</t>
  </si>
  <si>
    <t>41397007</t>
  </si>
  <si>
    <t>41398008</t>
  </si>
  <si>
    <t>41458015</t>
  </si>
  <si>
    <t>AIFMD fees</t>
  </si>
  <si>
    <t>41563033</t>
  </si>
  <si>
    <t>41563561</t>
  </si>
  <si>
    <t>41681053</t>
  </si>
  <si>
    <t>Directors Payroll Annual Fee</t>
  </si>
  <si>
    <t>41954528</t>
  </si>
  <si>
    <t>Administration Fees</t>
  </si>
  <si>
    <t>41967096</t>
  </si>
  <si>
    <t>BENEFICIAL OWNERSHIP FEES</t>
  </si>
  <si>
    <t>41969032</t>
  </si>
  <si>
    <t>Portfolio management fees</t>
  </si>
  <si>
    <t>41970117</t>
  </si>
  <si>
    <t>41972100</t>
  </si>
  <si>
    <t>SECRETARIAL FEES</t>
  </si>
  <si>
    <t>41065526</t>
  </si>
  <si>
    <t>DIRECTOR FEES</t>
  </si>
  <si>
    <t>41198865</t>
  </si>
  <si>
    <t>LEGAL FEES</t>
  </si>
  <si>
    <t>41202025</t>
  </si>
  <si>
    <t>AUDIT FEES</t>
  </si>
  <si>
    <t>41640454</t>
  </si>
  <si>
    <t>41988111</t>
  </si>
  <si>
    <t>41988594</t>
  </si>
  <si>
    <t>Synthesis</t>
  </si>
  <si>
    <t>Share Class</t>
  </si>
  <si>
    <t>Fees at Fund Level</t>
  </si>
  <si>
    <t>Fund</t>
  </si>
  <si>
    <t>Fund Description</t>
  </si>
  <si>
    <t>MF Service Code Description</t>
  </si>
  <si>
    <t>Account Ccy</t>
  </si>
  <si>
    <t>Description</t>
  </si>
  <si>
    <t>ISIN Code</t>
  </si>
  <si>
    <t>Amount in Asset Ccy</t>
  </si>
  <si>
    <t>Amount in Fund Ccy</t>
  </si>
  <si>
    <t>External Trade Reference</t>
  </si>
  <si>
    <t>MF Service Code</t>
  </si>
  <si>
    <t>Internal Asset Number</t>
  </si>
  <si>
    <t>Entry Number</t>
  </si>
  <si>
    <t>Accrued Charges Payment</t>
  </si>
  <si>
    <t>Fees payment   41970117                  40,909.18  EUR</t>
  </si>
  <si>
    <t>02/01/2024</t>
  </si>
  <si>
    <t>D303641970117DEC23</t>
  </si>
  <si>
    <t>CH</t>
  </si>
  <si>
    <t>470</t>
  </si>
  <si>
    <t>Fees payment   41972100                     228.69  EUR</t>
  </si>
  <si>
    <t>D303641972100DEC23</t>
  </si>
  <si>
    <t>473</t>
  </si>
  <si>
    <t>Fees payment   41397007                     304.92  EUR</t>
  </si>
  <si>
    <t>D303641397007DEC23</t>
  </si>
  <si>
    <t>474</t>
  </si>
  <si>
    <t>Fees payment   41398008                     584.42  EUR</t>
  </si>
  <si>
    <t>D303641398008DEC23</t>
  </si>
  <si>
    <t>475</t>
  </si>
  <si>
    <t>Fees payment   41458015                   1,705.08  EUR</t>
  </si>
  <si>
    <t>D303641458015DEC23</t>
  </si>
  <si>
    <t>477</t>
  </si>
  <si>
    <t>Fees payment   41041011                   2,964.48  EUR</t>
  </si>
  <si>
    <t>D303641041011DEC23</t>
  </si>
  <si>
    <t>456</t>
  </si>
  <si>
    <t>Fees payment   41242527                     569.43  EUR</t>
  </si>
  <si>
    <t>D303641242527DEC23</t>
  </si>
  <si>
    <t>463</t>
  </si>
  <si>
    <t>Fees payment   41969032                      63.70  EUR</t>
  </si>
  <si>
    <t>D303641969032DEC23</t>
  </si>
  <si>
    <t>469</t>
  </si>
  <si>
    <t>Fees payment   41065526                   1,172.03  EUR</t>
  </si>
  <si>
    <t>D303641065526DEC23</t>
  </si>
  <si>
    <t>458</t>
  </si>
  <si>
    <t>Fees payment   41016027                      53.15  EUR</t>
  </si>
  <si>
    <t>D303641016027DEC23</t>
  </si>
  <si>
    <t>454</t>
  </si>
  <si>
    <t>Fees payment   41563561                     850.11  EUR</t>
  </si>
  <si>
    <t>D303641563561DEC23</t>
  </si>
  <si>
    <t>466</t>
  </si>
  <si>
    <t>Fees payment   41988111                     577.95  EUR</t>
  </si>
  <si>
    <t>D303641988111DEC23</t>
  </si>
  <si>
    <t>471</t>
  </si>
  <si>
    <t>Fees payment   41988594                     559.02  EUR</t>
  </si>
  <si>
    <t>D303641988594DEC23</t>
  </si>
  <si>
    <t>472</t>
  </si>
  <si>
    <t>Fees payment   41045527                   2,257.57  EUR</t>
  </si>
  <si>
    <t>D303641045527DEC23</t>
  </si>
  <si>
    <t>457</t>
  </si>
  <si>
    <t>Fees payment   41033529                     371.92  EUR</t>
  </si>
  <si>
    <t>D303641033529DEC23</t>
  </si>
  <si>
    <t>464</t>
  </si>
  <si>
    <t>Fees payment   41145528                     217.68  EUR</t>
  </si>
  <si>
    <t>D303641145528DEC23</t>
  </si>
  <si>
    <t>459</t>
  </si>
  <si>
    <t>Fees payment   41225527                     381.15  EUR</t>
  </si>
  <si>
    <t>D303641225527DEC23</t>
  </si>
  <si>
    <t>462</t>
  </si>
  <si>
    <t>Fees payment   41954528                      78.14  EUR</t>
  </si>
  <si>
    <t>D303641954528DEC23</t>
  </si>
  <si>
    <t>468</t>
  </si>
  <si>
    <t>Fees payment   41681053                      87.67  EUR</t>
  </si>
  <si>
    <t>D303641681053DEC23</t>
  </si>
  <si>
    <t>476</t>
  </si>
  <si>
    <t>Fees payment   41970117                  40,190.00  EUR</t>
  </si>
  <si>
    <t>15/02/2024</t>
  </si>
  <si>
    <t>D303641970117JAN24</t>
  </si>
  <si>
    <t>498</t>
  </si>
  <si>
    <t>D303641972100JAN24</t>
  </si>
  <si>
    <t>499</t>
  </si>
  <si>
    <t>D303641397007JAN24</t>
  </si>
  <si>
    <t>488</t>
  </si>
  <si>
    <t>Fees payment   41398008                     574.14  EUR</t>
  </si>
  <si>
    <t>D303641398008JAN24</t>
  </si>
  <si>
    <t>489</t>
  </si>
  <si>
    <t>D303641041011JAN24</t>
  </si>
  <si>
    <t>480</t>
  </si>
  <si>
    <t>D303641242527JAN24</t>
  </si>
  <si>
    <t>487</t>
  </si>
  <si>
    <t>Fees payment   41969032                      63.52  EUR</t>
  </si>
  <si>
    <t>D303641969032JAN24</t>
  </si>
  <si>
    <t>497</t>
  </si>
  <si>
    <t>Fees payment   41967096                   4,306.07  EUR</t>
  </si>
  <si>
    <t>D303641967096JAN24</t>
  </si>
  <si>
    <t>496</t>
  </si>
  <si>
    <t>D303641065526JAN24</t>
  </si>
  <si>
    <t>482</t>
  </si>
  <si>
    <t>D303641016027JAN24</t>
  </si>
  <si>
    <t>478</t>
  </si>
  <si>
    <t>Fees payment   41640454                     931.69  EUR</t>
  </si>
  <si>
    <t>D303641640454JAN24</t>
  </si>
  <si>
    <t>493</t>
  </si>
  <si>
    <t>D303641563561JAN24</t>
  </si>
  <si>
    <t>492</t>
  </si>
  <si>
    <t>D303641988594JAN24</t>
  </si>
  <si>
    <t>479</t>
  </si>
  <si>
    <t>D303641988111JAN24</t>
  </si>
  <si>
    <t>500</t>
  </si>
  <si>
    <t>D303641045527JAN24</t>
  </si>
  <si>
    <t>481</t>
  </si>
  <si>
    <t>D303641033529JAN24</t>
  </si>
  <si>
    <t>490</t>
  </si>
  <si>
    <t>D303641145528JAN24</t>
  </si>
  <si>
    <t>483</t>
  </si>
  <si>
    <t>D303641225527JAN24</t>
  </si>
  <si>
    <t>486</t>
  </si>
  <si>
    <t>D303641954528JAN24</t>
  </si>
  <si>
    <t>495</t>
  </si>
  <si>
    <t>D303641681053JAN24</t>
  </si>
  <si>
    <t>494</t>
  </si>
  <si>
    <t>Fees payment   41970117                  37,615.68  EUR</t>
  </si>
  <si>
    <t>18/03/2024</t>
  </si>
  <si>
    <t>D303641970117FEB24</t>
  </si>
  <si>
    <t>514</t>
  </si>
  <si>
    <t>Fees payment   41972100                     213.93  EUR</t>
  </si>
  <si>
    <t>D303641972100FEB24</t>
  </si>
  <si>
    <t>516</t>
  </si>
  <si>
    <t>Fees payment   41397007                     285.25  EUR</t>
  </si>
  <si>
    <t>D303641397007FEB24</t>
  </si>
  <si>
    <t>508</t>
  </si>
  <si>
    <t>Fees payment   41398008                     537.37  EUR</t>
  </si>
  <si>
    <t>D303641398008FEB24</t>
  </si>
  <si>
    <t>509</t>
  </si>
  <si>
    <t>Fees payment   41041011                   2,773.22  EUR</t>
  </si>
  <si>
    <t>D303641041011FEB24</t>
  </si>
  <si>
    <t>503</t>
  </si>
  <si>
    <t>Fees payment   41242527                     532.70  EUR</t>
  </si>
  <si>
    <t>D303641242527FEB24</t>
  </si>
  <si>
    <t>507</t>
  </si>
  <si>
    <t>Fees payment   41969032                      59.43  EUR</t>
  </si>
  <si>
    <t>D303641969032FEB24</t>
  </si>
  <si>
    <t>502</t>
  </si>
  <si>
    <t>Fees payment   41967096                   4,030.25  EUR</t>
  </si>
  <si>
    <t>D303641967096FEB24</t>
  </si>
  <si>
    <t>523</t>
  </si>
  <si>
    <t>Fees payment   41065526                   1,096.41  EUR</t>
  </si>
  <si>
    <t>D303641065526FEB24</t>
  </si>
  <si>
    <t>517</t>
  </si>
  <si>
    <t>Fees payment   41016027                      49.72  EUR</t>
  </si>
  <si>
    <t>D303641016027FEB24</t>
  </si>
  <si>
    <t>501</t>
  </si>
  <si>
    <t>Fees payment   41563561                     795.27  EUR</t>
  </si>
  <si>
    <t>D303641563561FEB24</t>
  </si>
  <si>
    <t>522</t>
  </si>
  <si>
    <t>Fees payment   41988111                     540.66  EUR</t>
  </si>
  <si>
    <t>D303641988111FEB24</t>
  </si>
  <si>
    <t>515</t>
  </si>
  <si>
    <t>Fees payment   41988594                     522.95  EUR</t>
  </si>
  <si>
    <t>D303641988594FEB24</t>
  </si>
  <si>
    <t>520</t>
  </si>
  <si>
    <t>Fees payment   41045527                   2,111.92  EUR</t>
  </si>
  <si>
    <t>D303641045527FEB24</t>
  </si>
  <si>
    <t>504</t>
  </si>
  <si>
    <t>Fees payment   41033529                     347.93  EUR</t>
  </si>
  <si>
    <t>D303641033529FEB24</t>
  </si>
  <si>
    <t>510</t>
  </si>
  <si>
    <t>Fees payment   41145528                     203.63  EUR</t>
  </si>
  <si>
    <t>D303641145528FEB24</t>
  </si>
  <si>
    <t>518</t>
  </si>
  <si>
    <t>Fees payment   41225527                     356.56  EUR</t>
  </si>
  <si>
    <t>D303641225527FEB24</t>
  </si>
  <si>
    <t>506</t>
  </si>
  <si>
    <t>Fees payment   41954528                      73.09  EUR</t>
  </si>
  <si>
    <t>D303641954528FEB24</t>
  </si>
  <si>
    <t>513</t>
  </si>
  <si>
    <t>Fees payment   41681053                      82.01  EUR</t>
  </si>
  <si>
    <t>D303641681053FEB24</t>
  </si>
  <si>
    <t>512</t>
  </si>
  <si>
    <t>Fees payment   41970117                  40,105.27  EUR</t>
  </si>
  <si>
    <t>19/04/2024</t>
  </si>
  <si>
    <t>D303641970117MAR24</t>
  </si>
  <si>
    <t>542</t>
  </si>
  <si>
    <t>D303641972100MAR24</t>
  </si>
  <si>
    <t>545</t>
  </si>
  <si>
    <t>D303641397007MAR24</t>
  </si>
  <si>
    <t>533</t>
  </si>
  <si>
    <t>Fees payment   41398008                     572.93  EUR</t>
  </si>
  <si>
    <t>D303641398008MAR24</t>
  </si>
  <si>
    <t>534</t>
  </si>
  <si>
    <t>Fees payment   41458015                   6,710.32  EUR</t>
  </si>
  <si>
    <t>D303641458015MAR24</t>
  </si>
  <si>
    <t>547</t>
  </si>
  <si>
    <t>D303641041011MAR24</t>
  </si>
  <si>
    <t>526</t>
  </si>
  <si>
    <t>D303641242527MAR24</t>
  </si>
  <si>
    <t>532</t>
  </si>
  <si>
    <t>D303641969032MAR24</t>
  </si>
  <si>
    <t>541</t>
  </si>
  <si>
    <t>Fees payment   41967096                   4,296.99  EUR</t>
  </si>
  <si>
    <t>D303641967096MAR24</t>
  </si>
  <si>
    <t>525</t>
  </si>
  <si>
    <t>D303641065526MAR24</t>
  </si>
  <si>
    <t>528</t>
  </si>
  <si>
    <t>D303641016027MAR24</t>
  </si>
  <si>
    <t>524</t>
  </si>
  <si>
    <t>D303641640454MAR24</t>
  </si>
  <si>
    <t>538</t>
  </si>
  <si>
    <t>D303641563561MAR24</t>
  </si>
  <si>
    <t>537</t>
  </si>
  <si>
    <t>D303641988111MAR24</t>
  </si>
  <si>
    <t>543</t>
  </si>
  <si>
    <t>D303641988594MAR24</t>
  </si>
  <si>
    <t>544</t>
  </si>
  <si>
    <t>D303641045527MAR24</t>
  </si>
  <si>
    <t>527</t>
  </si>
  <si>
    <t>D303641033529MAR24</t>
  </si>
  <si>
    <t>535</t>
  </si>
  <si>
    <t>D303641145528MAR24</t>
  </si>
  <si>
    <t>529</t>
  </si>
  <si>
    <t>D303641225527MAR24</t>
  </si>
  <si>
    <t>531</t>
  </si>
  <si>
    <t>D303641954528MAR24</t>
  </si>
  <si>
    <t>540</t>
  </si>
  <si>
    <t>D303641681053MAR24</t>
  </si>
  <si>
    <t>539</t>
  </si>
  <si>
    <t>Fees payment   41970117                  38,801.84  EUR</t>
  </si>
  <si>
    <t>14/05/2024</t>
  </si>
  <si>
    <t>D303641970117APR24</t>
  </si>
  <si>
    <t>564</t>
  </si>
  <si>
    <t>Fees payment   41972100                     221.31  EUR</t>
  </si>
  <si>
    <t>D303641972100APR24</t>
  </si>
  <si>
    <t>566</t>
  </si>
  <si>
    <t>Fees payment   41397007                     295.08  EUR</t>
  </si>
  <si>
    <t>D303641397007APR24</t>
  </si>
  <si>
    <t>570</t>
  </si>
  <si>
    <t>Fees payment   41398008                     554.31  EUR</t>
  </si>
  <si>
    <t>D303641398008APR24</t>
  </si>
  <si>
    <t>549</t>
  </si>
  <si>
    <t>Fees payment   41458015                   1,650.08  EUR</t>
  </si>
  <si>
    <t>D303641458015APR24</t>
  </si>
  <si>
    <t>571</t>
  </si>
  <si>
    <t>Fees payment   41041011                   2,868.85  EUR</t>
  </si>
  <si>
    <t>D303641041011APR24</t>
  </si>
  <si>
    <t>550</t>
  </si>
  <si>
    <t>Fees payment   41242527                     551.07  EUR</t>
  </si>
  <si>
    <t>D303641242527APR24</t>
  </si>
  <si>
    <t>555</t>
  </si>
  <si>
    <t>Fees payment   41969032                      61.48  EUR</t>
  </si>
  <si>
    <t>D303641969032APR24</t>
  </si>
  <si>
    <t>563</t>
  </si>
  <si>
    <t>Fees payment   41967096                   4,157.34  EUR</t>
  </si>
  <si>
    <t>D303641967096APR24</t>
  </si>
  <si>
    <t>562</t>
  </si>
  <si>
    <t>Fees payment   41065526                   1,134.22  EUR</t>
  </si>
  <si>
    <t>D303641065526APR24</t>
  </si>
  <si>
    <t>552</t>
  </si>
  <si>
    <t>Fees payment   41016027                      51.43  EUR</t>
  </si>
  <si>
    <t>D303641016027APR24</t>
  </si>
  <si>
    <t>548</t>
  </si>
  <si>
    <t>Fees payment   41640454                     901.64  EUR</t>
  </si>
  <si>
    <t>D303641640454APR24</t>
  </si>
  <si>
    <t>559</t>
  </si>
  <si>
    <t>Fees payment   41563561                     822.69  EUR</t>
  </si>
  <si>
    <t>D303641563561APR24</t>
  </si>
  <si>
    <t>558</t>
  </si>
  <si>
    <t>Fees payment   41988111                     559.30  EUR</t>
  </si>
  <si>
    <t>D303641988111APR24</t>
  </si>
  <si>
    <t>565</t>
  </si>
  <si>
    <t>Fees payment   41988594                     540.98  EUR</t>
  </si>
  <si>
    <t>D303641988594APR24</t>
  </si>
  <si>
    <t>568</t>
  </si>
  <si>
    <t>Fees payment   41045527                   2,184.74  EUR</t>
  </si>
  <si>
    <t>D303641045527APR24</t>
  </si>
  <si>
    <t>551</t>
  </si>
  <si>
    <t>Fees payment   41033529                     359.93  EUR</t>
  </si>
  <si>
    <t>D303641033529APR24</t>
  </si>
  <si>
    <t>556</t>
  </si>
  <si>
    <t>Fees payment   41145528                     210.66  EUR</t>
  </si>
  <si>
    <t>D303641145528APR24</t>
  </si>
  <si>
    <t>553</t>
  </si>
  <si>
    <t>Fees payment   41225527                     368.85  EUR</t>
  </si>
  <si>
    <t>D303641225527APR24</t>
  </si>
  <si>
    <t>554</t>
  </si>
  <si>
    <t>Fees payment   41954528                      75.61  EUR</t>
  </si>
  <si>
    <t>D303641954528APR24</t>
  </si>
  <si>
    <t>561</t>
  </si>
  <si>
    <t>Fees payment   41681053                      84.84  EUR</t>
  </si>
  <si>
    <t>D303641681053APR24</t>
  </si>
  <si>
    <t>560</t>
  </si>
  <si>
    <t>Fees payment   41970117                  40,046.24  EUR</t>
  </si>
  <si>
    <t>17/06/2024</t>
  </si>
  <si>
    <t>D303641970117MAY24</t>
  </si>
  <si>
    <t>585</t>
  </si>
  <si>
    <t>D303641972100MAY24</t>
  </si>
  <si>
    <t>573</t>
  </si>
  <si>
    <t>D303641397007MAY24</t>
  </si>
  <si>
    <t>591</t>
  </si>
  <si>
    <t>Fees payment   41398008                     572.09  EUR</t>
  </si>
  <si>
    <t>D303641398008MAY24</t>
  </si>
  <si>
    <t>592</t>
  </si>
  <si>
    <t>D303641458015MAY24</t>
  </si>
  <si>
    <t>595</t>
  </si>
  <si>
    <t>D303641041011MAY24</t>
  </si>
  <si>
    <t>574</t>
  </si>
  <si>
    <t>D303641242527MAY24</t>
  </si>
  <si>
    <t>578</t>
  </si>
  <si>
    <t>D303641969032MAY24</t>
  </si>
  <si>
    <t>584</t>
  </si>
  <si>
    <t>Fees payment   41967096                   4,290.67  EUR</t>
  </si>
  <si>
    <t>D303641967096MAY24</t>
  </si>
  <si>
    <t>594</t>
  </si>
  <si>
    <t>D303641065526MAY24</t>
  </si>
  <si>
    <t>576</t>
  </si>
  <si>
    <t>D303641016027MAY24</t>
  </si>
  <si>
    <t>572</t>
  </si>
  <si>
    <t>D303641640454MAY24</t>
  </si>
  <si>
    <t>581</t>
  </si>
  <si>
    <t>D303641563561MAY24</t>
  </si>
  <si>
    <t>593</t>
  </si>
  <si>
    <t>D303641988111MAY24</t>
  </si>
  <si>
    <t>586</t>
  </si>
  <si>
    <t>D303641988594MAY24</t>
  </si>
  <si>
    <t>588</t>
  </si>
  <si>
    <t>D303641045527MAY24</t>
  </si>
  <si>
    <t>575</t>
  </si>
  <si>
    <t>D303641033529MAY24</t>
  </si>
  <si>
    <t>579</t>
  </si>
  <si>
    <t>D303641145528MAY24</t>
  </si>
  <si>
    <t>577</t>
  </si>
  <si>
    <t>D303641225527MAY24</t>
  </si>
  <si>
    <t>590</t>
  </si>
  <si>
    <t>D303641954528MAY24</t>
  </si>
  <si>
    <t>583</t>
  </si>
  <si>
    <t>D303641681053MAY24</t>
  </si>
  <si>
    <t>582</t>
  </si>
  <si>
    <t>Fees payment   41970117                  38,816.18  EUR</t>
  </si>
  <si>
    <t>15/07/2024</t>
  </si>
  <si>
    <t>D303641970117JUN24</t>
  </si>
  <si>
    <t>612</t>
  </si>
  <si>
    <t>D303641972100JUN24</t>
  </si>
  <si>
    <t>610</t>
  </si>
  <si>
    <t>D303641397007JUN24</t>
  </si>
  <si>
    <t>602</t>
  </si>
  <si>
    <t>Fees payment   41398008                     554.52  EUR</t>
  </si>
  <si>
    <t>D303641398008JUN24</t>
  </si>
  <si>
    <t>603</t>
  </si>
  <si>
    <t>D303641458015JUN24</t>
  </si>
  <si>
    <t>619</t>
  </si>
  <si>
    <t>D303641041011JUN24</t>
  </si>
  <si>
    <t>598</t>
  </si>
  <si>
    <t>D303641242527JUN24</t>
  </si>
  <si>
    <t>617</t>
  </si>
  <si>
    <t>D303641969032JUN24</t>
  </si>
  <si>
    <t>609</t>
  </si>
  <si>
    <t>Fees payment   41967096                   4,158.88  EUR</t>
  </si>
  <si>
    <t>D303641967096JUN24</t>
  </si>
  <si>
    <t>608</t>
  </si>
  <si>
    <t>D303641065526JUN24</t>
  </si>
  <si>
    <t>613</t>
  </si>
  <si>
    <t>D303641016027JUN24</t>
  </si>
  <si>
    <t>596</t>
  </si>
  <si>
    <t>D303641640454JUN24</t>
  </si>
  <si>
    <t>605</t>
  </si>
  <si>
    <t>D303641563561JUN24</t>
  </si>
  <si>
    <t>604</t>
  </si>
  <si>
    <t>Fees payment   41202025                     995.72  EUR</t>
  </si>
  <si>
    <t>D303641202025JUN24</t>
  </si>
  <si>
    <t>616</t>
  </si>
  <si>
    <t>D303641988111JUN24</t>
  </si>
  <si>
    <t>611</t>
  </si>
  <si>
    <t>Fees payment   41198865                     983.61  EUR</t>
  </si>
  <si>
    <t>D303641198865JUN24</t>
  </si>
  <si>
    <t>614</t>
  </si>
  <si>
    <t>D303641988594JUN24</t>
  </si>
  <si>
    <t>615</t>
  </si>
  <si>
    <t>D303641045527JUN24</t>
  </si>
  <si>
    <t>599</t>
  </si>
  <si>
    <t>D303641033529JUN24</t>
  </si>
  <si>
    <t>618</t>
  </si>
  <si>
    <t>D303641145528JUN24</t>
  </si>
  <si>
    <t>600</t>
  </si>
  <si>
    <t>D303641225527JUN24</t>
  </si>
  <si>
    <t>D303641954528JUN24</t>
  </si>
  <si>
    <t>607</t>
  </si>
  <si>
    <t>D303641681053JUN24</t>
  </si>
  <si>
    <t>606</t>
  </si>
  <si>
    <t>Fees payment   41970117                  39,720.00  EUR</t>
  </si>
  <si>
    <t>21/08/2024</t>
  </si>
  <si>
    <t>D303641970117JUL24</t>
  </si>
  <si>
    <t>637</t>
  </si>
  <si>
    <t>D303641972100JUL24</t>
  </si>
  <si>
    <t>D303641397007JUL24</t>
  </si>
  <si>
    <t>629</t>
  </si>
  <si>
    <t>Fees payment   41398008                     567.43  EUR</t>
  </si>
  <si>
    <t>D303641398008JUL24</t>
  </si>
  <si>
    <t>630</t>
  </si>
  <si>
    <t>D303641458015JUL24</t>
  </si>
  <si>
    <t>642</t>
  </si>
  <si>
    <t>D303641041011JUL24</t>
  </si>
  <si>
    <t>622</t>
  </si>
  <si>
    <t>D303641969032JUL24</t>
  </si>
  <si>
    <t>Fees payment   41967096                   4,255.71  EUR</t>
  </si>
  <si>
    <t>D303641967096JUL24</t>
  </si>
  <si>
    <t>621</t>
  </si>
  <si>
    <t>D303641016027JUL24</t>
  </si>
  <si>
    <t>620</t>
  </si>
  <si>
    <t>D303641640454JUL24</t>
  </si>
  <si>
    <t>D303641563561JUL24</t>
  </si>
  <si>
    <t>633</t>
  </si>
  <si>
    <t>D303641988111JUL24</t>
  </si>
  <si>
    <t>D303641988594JUL24</t>
  </si>
  <si>
    <t>640</t>
  </si>
  <si>
    <t>D303641045527JUL24</t>
  </si>
  <si>
    <t>623</t>
  </si>
  <si>
    <t>D303641033529JUL24</t>
  </si>
  <si>
    <t>631</t>
  </si>
  <si>
    <t>D303641145528JUL24</t>
  </si>
  <si>
    <t>625</t>
  </si>
  <si>
    <t>D303641681053JUL24</t>
  </si>
  <si>
    <t>635</t>
  </si>
  <si>
    <t>Fees payment   41970117                  39,931.03  EUR</t>
  </si>
  <si>
    <t>13/09/2024</t>
  </si>
  <si>
    <t>D303641970117AUG24</t>
  </si>
  <si>
    <t>D303641972100AUG24</t>
  </si>
  <si>
    <t>D303641397007AUG24</t>
  </si>
  <si>
    <t>652</t>
  </si>
  <si>
    <t>Fees payment   41398008                     570.44  EUR</t>
  </si>
  <si>
    <t>D303641398008AUG24</t>
  </si>
  <si>
    <t>D303641458015AUG24</t>
  </si>
  <si>
    <t>D303641041011AUG24</t>
  </si>
  <si>
    <t>D303641969032AUG24</t>
  </si>
  <si>
    <t>Fees payment   41967096                   4,278.32  EUR</t>
  </si>
  <si>
    <t>D303641967096AUG24</t>
  </si>
  <si>
    <t>D303641016027AUG24</t>
  </si>
  <si>
    <t>D303641640454AUG24</t>
  </si>
  <si>
    <t>D303641563561AUG24</t>
  </si>
  <si>
    <t>D303641988594AUG24</t>
  </si>
  <si>
    <t>644</t>
  </si>
  <si>
    <t>D303641988111AUG24</t>
  </si>
  <si>
    <t>D303641045527AUG24</t>
  </si>
  <si>
    <t>646</t>
  </si>
  <si>
    <t>D303641033529AUG24</t>
  </si>
  <si>
    <t>D303641145528AUG24</t>
  </si>
  <si>
    <t>D303641681053AUG24</t>
  </si>
  <si>
    <t>Fees payment   41970117                  38,786.20  EUR</t>
  </si>
  <si>
    <t>18/10/2024</t>
  </si>
  <si>
    <t>D303641970117SEP24</t>
  </si>
  <si>
    <t>D303641972100SEP24</t>
  </si>
  <si>
    <t>D303641397007SEP24</t>
  </si>
  <si>
    <t>Fees payment   41398008                     554.09  EUR</t>
  </si>
  <si>
    <t>D303641398008SEP24</t>
  </si>
  <si>
    <t>D303641458015SEP24</t>
  </si>
  <si>
    <t>688</t>
  </si>
  <si>
    <t>D303641041011SEP24</t>
  </si>
  <si>
    <t>D303641969032SEP24</t>
  </si>
  <si>
    <t>Fees payment   41967096                   4,155.66  EUR</t>
  </si>
  <si>
    <t>D303641967096SEP24</t>
  </si>
  <si>
    <t>D303641016027SEP24</t>
  </si>
  <si>
    <t>D303641640454SEP24</t>
  </si>
  <si>
    <t>D303641563561SEP24</t>
  </si>
  <si>
    <t>D303641988111SEP24</t>
  </si>
  <si>
    <t>D303641988594SEP24</t>
  </si>
  <si>
    <t>D303641045527SEP24</t>
  </si>
  <si>
    <t>D303641033529SEP24</t>
  </si>
  <si>
    <t>D303641145528SEP24</t>
  </si>
  <si>
    <t>D303641681053SEP24</t>
  </si>
  <si>
    <t>Fees payment   41970117                  40,029.89  EUR</t>
  </si>
  <si>
    <t>15/11/2024</t>
  </si>
  <si>
    <t>D303641970117OCT24</t>
  </si>
  <si>
    <t>708</t>
  </si>
  <si>
    <t>D303641972100OCT24</t>
  </si>
  <si>
    <t>709</t>
  </si>
  <si>
    <t>D303641397007OCT24</t>
  </si>
  <si>
    <t>698</t>
  </si>
  <si>
    <t>Fees payment   41398008                     571.86  EUR</t>
  </si>
  <si>
    <t>D303641398008OCT24</t>
  </si>
  <si>
    <t>699</t>
  </si>
  <si>
    <t>D303641458015OCT24</t>
  </si>
  <si>
    <t>711</t>
  </si>
  <si>
    <t>D303641041011OCT24</t>
  </si>
  <si>
    <t>691</t>
  </si>
  <si>
    <t>D303641969032OCT24</t>
  </si>
  <si>
    <t>707</t>
  </si>
  <si>
    <t>Fees payment   41967096                   4,288.92  EUR</t>
  </si>
  <si>
    <t>D303641967096OCT24</t>
  </si>
  <si>
    <t>706</t>
  </si>
  <si>
    <t>D303641640454OCT24</t>
  </si>
  <si>
    <t>703</t>
  </si>
  <si>
    <t>D303641563561OCT24</t>
  </si>
  <si>
    <t>702</t>
  </si>
  <si>
    <t>Fees payment   41202025                   1,028.88  EUR</t>
  </si>
  <si>
    <t>D303641202025OCT24</t>
  </si>
  <si>
    <t>696</t>
  </si>
  <si>
    <t>D303641988594OCT24</t>
  </si>
  <si>
    <t>690</t>
  </si>
  <si>
    <t>D303641988111OCT24</t>
  </si>
  <si>
    <t>710</t>
  </si>
  <si>
    <t>D303641045527OCT24</t>
  </si>
  <si>
    <t>692</t>
  </si>
  <si>
    <t>D303641033529OCT24</t>
  </si>
  <si>
    <t>700</t>
  </si>
  <si>
    <t>D303641145528OCT24</t>
  </si>
  <si>
    <t>694</t>
  </si>
  <si>
    <t>D303641681053OCT24</t>
  </si>
  <si>
    <t>704</t>
  </si>
  <si>
    <t>Fees payment   41970117                  38,722.86  EUR</t>
  </si>
  <si>
    <t>D303641970117NOV24</t>
  </si>
  <si>
    <t>731</t>
  </si>
  <si>
    <t>D303641972100NOV24</t>
  </si>
  <si>
    <t>732</t>
  </si>
  <si>
    <t>D303641397007NOV24</t>
  </si>
  <si>
    <t>721</t>
  </si>
  <si>
    <t>Fees payment   41398008                     553.18  EUR</t>
  </si>
  <si>
    <t>D303641398008NOV24</t>
  </si>
  <si>
    <t>722</t>
  </si>
  <si>
    <t>D303641458015NOV24</t>
  </si>
  <si>
    <t>734</t>
  </si>
  <si>
    <t>D303641041011NOV24</t>
  </si>
  <si>
    <t>714</t>
  </si>
  <si>
    <t>D303641242527NOV24</t>
  </si>
  <si>
    <t>720</t>
  </si>
  <si>
    <t>D303641969032NOV24</t>
  </si>
  <si>
    <t>730</t>
  </si>
  <si>
    <t>Fees payment   41967096                   4,148.88  EUR</t>
  </si>
  <si>
    <t>D303641967096NOV24</t>
  </si>
  <si>
    <t>729</t>
  </si>
  <si>
    <t>D303641065526NOV24</t>
  </si>
  <si>
    <t>716</t>
  </si>
  <si>
    <t>D303641016027NOV24</t>
  </si>
  <si>
    <t>712</t>
  </si>
  <si>
    <t>D303641640454NOV24</t>
  </si>
  <si>
    <t>726</t>
  </si>
  <si>
    <t>Fees payment   41563033                   1,250.00  EUR</t>
  </si>
  <si>
    <t>D303641563033NOV24</t>
  </si>
  <si>
    <t>724</t>
  </si>
  <si>
    <t>D303641563561NOV24</t>
  </si>
  <si>
    <t>725</t>
  </si>
  <si>
    <t>Fees payment   41202025                     995.69  EUR</t>
  </si>
  <si>
    <t>D303641202025NOV24</t>
  </si>
  <si>
    <t>719</t>
  </si>
  <si>
    <t>D303641988594NOV24</t>
  </si>
  <si>
    <t>713</t>
  </si>
  <si>
    <t>D303641988111NOV24</t>
  </si>
  <si>
    <t>733</t>
  </si>
  <si>
    <t>D303641045527NOV24</t>
  </si>
  <si>
    <t>715</t>
  </si>
  <si>
    <t>D303641033529NOV24</t>
  </si>
  <si>
    <t>723</t>
  </si>
  <si>
    <t>D303641145528NOV24</t>
  </si>
  <si>
    <t>717</t>
  </si>
  <si>
    <t>D303641954528NOV24</t>
  </si>
  <si>
    <t>728</t>
  </si>
  <si>
    <t>D303641681053NOV24</t>
  </si>
  <si>
    <t>727</t>
  </si>
  <si>
    <t>Sub-Total</t>
  </si>
  <si>
    <t>CCY</t>
  </si>
  <si>
    <t>Amount in Account Ccy</t>
  </si>
  <si>
    <t>Contract Number</t>
  </si>
  <si>
    <t>Amount</t>
  </si>
  <si>
    <t>Currency</t>
  </si>
  <si>
    <t>Counterpart Ccy</t>
  </si>
  <si>
    <t>P/L Contract Ccy</t>
  </si>
  <si>
    <t>P/L Fund Ccy</t>
  </si>
  <si>
    <t>Remaining Days</t>
  </si>
  <si>
    <t>Buy/Sell</t>
  </si>
  <si>
    <t>Contract Rate</t>
  </si>
  <si>
    <t>Forward Rate</t>
  </si>
  <si>
    <t>Share Class Code</t>
  </si>
  <si>
    <t>Share Class ISIN</t>
  </si>
  <si>
    <t>Share Class Currency</t>
  </si>
  <si>
    <t>Total net Asset/Share sh Ccy</t>
  </si>
  <si>
    <t>Counterparty Name</t>
  </si>
  <si>
    <t>Counterparty LEI</t>
  </si>
  <si>
    <t>Share Class TNA</t>
  </si>
  <si>
    <t>Net Exposure</t>
  </si>
  <si>
    <t>Hedging %</t>
  </si>
  <si>
    <t>Neutralisation</t>
  </si>
  <si>
    <t>Fund Name</t>
  </si>
  <si>
    <t>Security Code</t>
  </si>
  <si>
    <t>Counterparty ID</t>
  </si>
  <si>
    <t>Collateral Currency</t>
  </si>
  <si>
    <t>Collateral Type</t>
  </si>
  <si>
    <t>Collateral Type name</t>
  </si>
  <si>
    <t>Asset Type</t>
  </si>
  <si>
    <t>Margin Type</t>
  </si>
  <si>
    <t>Collateral Amount</t>
  </si>
  <si>
    <t>Cash Account</t>
  </si>
  <si>
    <t>Cash Suffix</t>
  </si>
  <si>
    <t>ISIN</t>
  </si>
  <si>
    <t>Instrument Name</t>
  </si>
  <si>
    <t>Instrument Quantity</t>
  </si>
  <si>
    <t>Instrument Family</t>
  </si>
  <si>
    <t>As per financials</t>
  </si>
  <si>
    <t>Long/Short</t>
  </si>
  <si>
    <t>Short</t>
  </si>
  <si>
    <t>Long</t>
  </si>
  <si>
    <t>D3037</t>
  </si>
  <si>
    <t>D3038</t>
  </si>
  <si>
    <t>D3039</t>
  </si>
  <si>
    <t>Idenficaton ID</t>
  </si>
  <si>
    <t>PortInv_1BOMV(G)1.1</t>
  </si>
  <si>
    <t>PortInv_1BOMV(N)1.1</t>
  </si>
  <si>
    <t>TBInv_1EQ1C(N)</t>
  </si>
  <si>
    <t>TBInv_1EQ1U(N)</t>
  </si>
  <si>
    <t>TBInv_1BO1C(N)</t>
  </si>
  <si>
    <t>TBInv_1BO1U(N)</t>
  </si>
  <si>
    <t>TBInv_1BO1Amort(N)</t>
  </si>
  <si>
    <t>TBInv_1UP1C(N)</t>
  </si>
  <si>
    <t>TBInv_1UP1U(N)</t>
  </si>
  <si>
    <t>TBInv_1EQMV(N)1.2</t>
  </si>
  <si>
    <t>TBInv_1BO1MV(N)1.1</t>
  </si>
  <si>
    <t>TBInv_1UP1MV(N)1.3</t>
  </si>
  <si>
    <t>PortInv_11UP1MV(N)1.3</t>
  </si>
  <si>
    <t>TBInv_1LoanDep1MV(N)1.4</t>
  </si>
  <si>
    <t>TBInv_1LoanDep1C(G)1.4</t>
  </si>
  <si>
    <t>TBInv_1LoanDep1Adj(G)1.4</t>
  </si>
  <si>
    <t>PortInv_1LoanDep1MV(N)1.4</t>
  </si>
  <si>
    <t>PortInv_1LoanDep1MV(G)1.4</t>
  </si>
  <si>
    <t>TBInv_1FWBMV(N)1.5</t>
  </si>
  <si>
    <t>PortInv_1FWBMV(G)1.5</t>
  </si>
  <si>
    <t>PortInv_1FWBMV(N)1.5</t>
  </si>
  <si>
    <t>TBInv_1FWBU(N)</t>
  </si>
  <si>
    <t>TBCash_2Cat(N)</t>
  </si>
  <si>
    <t>TBCash_2CD(N)</t>
  </si>
  <si>
    <t>Base cost</t>
  </si>
  <si>
    <t>Asset type</t>
  </si>
  <si>
    <t xml:space="preserve">Total Financial asset and liabilities </t>
  </si>
  <si>
    <t>Identification no (Long)</t>
  </si>
  <si>
    <t>Identification no (Short)</t>
  </si>
  <si>
    <t>Inv_1FWBQty(N)L1.5</t>
  </si>
  <si>
    <t>Inv_1FWBQty(N)S1.5</t>
  </si>
  <si>
    <t>Inv_1FWBBC(N)L1.5</t>
  </si>
  <si>
    <t>Inv_1FWBBC(N)S1.5</t>
  </si>
  <si>
    <t>Inv_1FWBMV(N)ASPL1.5</t>
  </si>
  <si>
    <t>Inv_1FWBMV(N)ASPS1.5</t>
  </si>
  <si>
    <t>Net exposure</t>
  </si>
  <si>
    <t>Inv_1CCY(N)1.1EUR</t>
  </si>
  <si>
    <t>Inv_1CCY(N)1.1GBP</t>
  </si>
  <si>
    <t>Inv_1CCY(N)1.1USD</t>
  </si>
  <si>
    <t>Inv_1CCY(N)2.1EUR</t>
  </si>
  <si>
    <t>Inv_1CCY(N)2.1GBP</t>
  </si>
  <si>
    <t>Inv_1CCY(N)2.1USD</t>
  </si>
  <si>
    <t>Asset sub type</t>
  </si>
  <si>
    <t>Inv_1BOGDQty(N)L1.1</t>
  </si>
  <si>
    <t>Inv_1BOGDQty(N)S1.1</t>
  </si>
  <si>
    <t>Inv_11EQ1UCSQty(N)L1.2</t>
  </si>
  <si>
    <t>Inv_1LoanDep1CorpQty(N)L1.4</t>
  </si>
  <si>
    <t>Inv_11UP1OpHFQty(N)L1.3</t>
  </si>
  <si>
    <t>Inv_11EQ1UCSQty(N)S1.2</t>
  </si>
  <si>
    <t>Inv_1LoanDep1CorpQty(N)S1.4</t>
  </si>
  <si>
    <t>Inv_11UP1QtyIpHF(N)S1.3</t>
  </si>
  <si>
    <t>Inv_1BOGDBC(N)L1.1</t>
  </si>
  <si>
    <t>Inv_1BOGDBC(N)S1.1</t>
  </si>
  <si>
    <t>Inv_11EQ1UCSBC(N)L1.2</t>
  </si>
  <si>
    <t>Inv_11EQ1UCSBC(N)S1.2</t>
  </si>
  <si>
    <t>Inv_1LoanDep1CorpBC(N)L1.4</t>
  </si>
  <si>
    <t>Inv_1LoanDep1CorpBC(N)S1.4</t>
  </si>
  <si>
    <t>Inv_11UP1BCOpHF(N)L1.3</t>
  </si>
  <si>
    <t>Inv_11UP1BCOpHF(N)S1.3</t>
  </si>
  <si>
    <t>Inv_1BOGDMV(N)ASPL1.1</t>
  </si>
  <si>
    <t>Inv_1BOGDMV(N)ASPS1.1</t>
  </si>
  <si>
    <t>Inv_11EQ1UCSMV(N)ASPL1.2</t>
  </si>
  <si>
    <t>Inv_11EQ1UCSMV(N)ASPS1.2</t>
  </si>
  <si>
    <t>Inv_1LoanDep1CorpMV(N)ASPL1.4</t>
  </si>
  <si>
    <t>Inv_1LoanDep1CorpMV(N)ASPS1.4</t>
  </si>
  <si>
    <t>Inv_11UP1MVOpHF(N)ASPL1.3</t>
  </si>
  <si>
    <t>Inv_11UP1MVOpHF(N)ASPS1.3</t>
  </si>
  <si>
    <t>Inv_1CCY(N)MA1.1EUR</t>
  </si>
  <si>
    <t>Inv_1CCY(N)MA1.1GBP</t>
  </si>
  <si>
    <t>Inv_1CCY(N)MA1.1USD</t>
  </si>
  <si>
    <t>Inv_1CCY(N)ML1.1EUR</t>
  </si>
  <si>
    <t>Inv_1CCY(N)ML1.1GBP</t>
  </si>
  <si>
    <t>Inv_1CCY(N)ML1.1USD</t>
  </si>
  <si>
    <t>Inv_TotMV(N)ASPL1</t>
  </si>
  <si>
    <t>Inv_TotMV(N)ASPS1</t>
  </si>
  <si>
    <t>TBDirMapLia2.1</t>
  </si>
  <si>
    <t>TBDirMapLia2.2</t>
  </si>
  <si>
    <t>TBDirMapInc3.2</t>
  </si>
  <si>
    <t>TBDirMapExp4.8</t>
  </si>
  <si>
    <t>TBDirMapExp4.4</t>
  </si>
  <si>
    <t>TBDirMapExp4.6</t>
  </si>
  <si>
    <t>TBDirMapExp4.7</t>
  </si>
  <si>
    <t>TBDirMapExp4.5</t>
  </si>
  <si>
    <t>TBDirMapExp4.1</t>
  </si>
  <si>
    <t>TBDirMapExp4.3</t>
  </si>
  <si>
    <t>TBDirMapExp4.2</t>
  </si>
  <si>
    <t>PortInv_1EQ1MV(N)1.2</t>
  </si>
  <si>
    <t xml:space="preserve"> n</t>
  </si>
  <si>
    <t>TBDirMapInc3.1a</t>
  </si>
  <si>
    <t>TBDirMapInc3.1b</t>
  </si>
  <si>
    <t>TBDirMapExp4.25a</t>
  </si>
  <si>
    <t>TBDirMapExp4.25b</t>
  </si>
  <si>
    <t>TBDirMapExp4.25c</t>
  </si>
  <si>
    <t>TBDirMapExp4.25d</t>
  </si>
  <si>
    <t>TBDirMapExp4.25e</t>
  </si>
  <si>
    <t>TBDirMapExp4.25f</t>
  </si>
  <si>
    <t>TBDirMapExp4.25g</t>
  </si>
  <si>
    <t>TBDirMapExp4.25h</t>
  </si>
  <si>
    <t>TBDirMapExp4.25i</t>
  </si>
  <si>
    <t>TBDirMapExp4.25j</t>
  </si>
  <si>
    <t>CashLedDirMapInc3.1a</t>
  </si>
  <si>
    <t>C1CYSF1</t>
  </si>
  <si>
    <t>CashLedDirMapExp4.25a</t>
  </si>
  <si>
    <t>CashLedDirMapExp4.25b</t>
  </si>
  <si>
    <t>CashLedDirMapExp4.25c</t>
  </si>
  <si>
    <t>CashLedDirMapExp4.25d</t>
  </si>
  <si>
    <t>CashLedDirMapExp4.25e</t>
  </si>
  <si>
    <t>CashLedDirMapExp4.25f</t>
  </si>
  <si>
    <t>CashLedDirMapExp4.25g</t>
  </si>
  <si>
    <t>CashLedDirMapExp4.4</t>
  </si>
  <si>
    <t>CashLedDirMapExp4.25h</t>
  </si>
  <si>
    <t>CashLedDirMapExp4.25i</t>
  </si>
  <si>
    <t>CashLedDirMapExp4.25j</t>
  </si>
  <si>
    <t>CashLedDirMapInc3.1b</t>
  </si>
  <si>
    <t>CashLed_2Cat(G)2.1</t>
  </si>
  <si>
    <t>PortInv_1EQ1MV(G)1.2</t>
  </si>
  <si>
    <t>PortInv_11UP1MV(G)1.3</t>
  </si>
  <si>
    <t>TBDirMapIncRgl7.1</t>
  </si>
  <si>
    <t>TBDirMapAss1.1a</t>
  </si>
  <si>
    <t>TBDirMapAss1.1b</t>
  </si>
  <si>
    <t>TBDirMapAss1.1c</t>
  </si>
  <si>
    <t>TBDirMapLia2.3</t>
  </si>
  <si>
    <t>TBDirMapLia2.15</t>
  </si>
  <si>
    <t>TBDirMapLia2.4</t>
  </si>
  <si>
    <t>TBDirMapLia2.5</t>
  </si>
  <si>
    <t>TBDirMapLia2.6</t>
  </si>
  <si>
    <t>TBDirMapLia2.7</t>
  </si>
  <si>
    <t>TBDirMapLia2.8</t>
  </si>
  <si>
    <t>TBDirMapLia2.9</t>
  </si>
  <si>
    <t>TBDirMapLia2.10</t>
  </si>
  <si>
    <t>TBDirMapLia9.0Setoff</t>
  </si>
  <si>
    <t>TBDirMapAss9.0Setoff</t>
  </si>
  <si>
    <t>NAVDirMVSF1</t>
  </si>
  <si>
    <t>NAVDirpershareSF1</t>
  </si>
  <si>
    <t>Corporate Loans</t>
  </si>
  <si>
    <t>Bonds</t>
  </si>
  <si>
    <t>Forward currency contracts</t>
  </si>
  <si>
    <t>Equities</t>
  </si>
  <si>
    <t>Corporate loans</t>
  </si>
  <si>
    <t>Funds</t>
  </si>
  <si>
    <t>TBDirMapIncRgl6.1a</t>
  </si>
  <si>
    <t>TBDirMapIncRgl6.1b</t>
  </si>
  <si>
    <t>TBDirMapIncRgl6.1c</t>
  </si>
  <si>
    <t>TBDirMapIncRgl6.1d</t>
  </si>
  <si>
    <t>TBDirMapIncRglLong5.1a</t>
  </si>
  <si>
    <t>TBDirMapIncRglLong5.1b</t>
  </si>
  <si>
    <t>TBDirMapIncRglLong5.1c</t>
  </si>
  <si>
    <t>TBDirMapIncRglShort5.1a</t>
  </si>
  <si>
    <t>TBDirMapIncRglShort5.1c</t>
  </si>
  <si>
    <t>Maturity Category in Years</t>
  </si>
  <si>
    <t>Maturity Category</t>
  </si>
  <si>
    <t>Credit rating</t>
  </si>
  <si>
    <t>Financial Year (DD/MM/YYYY)</t>
  </si>
  <si>
    <t>Level Details FAS 157</t>
  </si>
  <si>
    <t>CCY Categorization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</si>
</sst>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#,##0.00####"/>
    <numFmt numFmtId="165" formatCode="#,##0.00####%"/>
    <numFmt numFmtId="166" formatCode="_ * #,##0_ ;_ * \-#,##0_ ;_ * &quot;-&quot;??_ ;_ @_ "/>
    <numFmt numFmtId="170" formatCode="_ * #,##0.00_ ;_ * \-#,##0.00_ ;_ * &quot;-&quot;??_ ;_ @_ "/>
  </numFmts>
  <fonts count="12" x14ac:knownFonts="1"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i/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"/>
      <name val="Calibri"/>
      <family val="2"/>
    </font>
    <font>
      <sz val="9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D9E4BC"/>
      </patternFill>
    </fill>
    <fill>
      <patternFill patternType="solid">
        <f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4" fillId="2" borderId="0"/>
    <xf numFmtId="170" fontId="4" fillId="2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0" fontId="0" fillId="5" borderId="0" xfId="0" applyFill="1"/>
    <xf numFmtId="0" fontId="3" fillId="5" borderId="1" xfId="0" applyFont="1" applyFill="1" applyBorder="1" applyAlignment="1">
      <alignment horizontal="left" vertical="center"/>
    </xf>
    <xf numFmtId="164" fontId="3" fillId="5" borderId="0" xfId="0" applyNumberFormat="1" applyFont="1" applyFill="1" applyAlignment="1">
      <alignment horizontal="right" vertical="center"/>
    </xf>
    <xf numFmtId="0" fontId="0" fillId="0" borderId="2" xfId="0" applyBorder="1"/>
    <xf numFmtId="0" fontId="0" fillId="0" borderId="0" xfId="0" applyBorder="1"/>
    <xf numFmtId="166" fontId="0" fillId="0" borderId="0" xfId="1" applyNumberFormat="1" applyFont="1" applyBorder="1"/>
    <xf numFmtId="166" fontId="6" fillId="0" borderId="2" xfId="1" applyNumberFormat="1" applyFont="1" applyBorder="1"/>
    <xf numFmtId="166" fontId="8" fillId="0" borderId="2" xfId="1" applyNumberFormat="1" applyFont="1" applyBorder="1"/>
    <xf numFmtId="0" fontId="0" fillId="0" borderId="0" xfId="0" applyFill="1"/>
    <xf numFmtId="0" fontId="7" fillId="4" borderId="2" xfId="0" applyFont="1" applyFill="1" applyBorder="1" applyAlignment="1">
      <alignment vertical="center" wrapText="1"/>
    </xf>
    <xf numFmtId="0" fontId="5" fillId="0" borderId="0" xfId="0" applyFont="1"/>
    <xf numFmtId="0" fontId="10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4" fontId="2" fillId="0" borderId="0" xfId="0" applyNumberFormat="1" applyFont="1" applyFill="1" applyAlignment="1">
      <alignment horizontal="right" vertical="center"/>
    </xf>
    <xf numFmtId="164" fontId="2" fillId="8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right" vertical="center"/>
    </xf>
    <xf numFmtId="0" fontId="8" fillId="9" borderId="2" xfId="0" applyFont="1" applyFill="1" applyBorder="1"/>
    <xf numFmtId="0" fontId="8" fillId="9" borderId="3" xfId="0" applyFont="1" applyFill="1" applyBorder="1"/>
    <xf numFmtId="0" fontId="9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0" fillId="9" borderId="3" xfId="0" applyFill="1" applyBorder="1"/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10" borderId="0" xfId="0" applyFill="1"/>
    <xf numFmtId="164" fontId="2" fillId="10" borderId="0" xfId="0" applyNumberFormat="1" applyFont="1" applyFill="1" applyAlignment="1">
      <alignment horizontal="right" vertical="center"/>
    </xf>
    <xf numFmtId="164" fontId="2" fillId="11" borderId="0" xfId="0" applyNumberFormat="1" applyFont="1" applyFill="1" applyAlignment="1">
      <alignment horizontal="right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4" fillId="2" borderId="0" xfId="2"/>
    <xf numFmtId="0" fontId="2" fillId="2" borderId="0" xfId="2" applyFont="1" applyFill="1" applyAlignment="1">
      <alignment horizontal="left" vertical="center"/>
    </xf>
    <xf numFmtId="14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4.4" x14ac:dyDescent="0.3"/>
  <cols>
    <col min="1" max="1" width="14" customWidth="1"/>
    <col min="2" max="2" width="28" customWidth="1"/>
    <col min="3" max="11" width="14" customWidth="1"/>
  </cols>
  <sheetData>
    <row r="1" spans="1:10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ht="13.05" customHeight="1" x14ac:dyDescent="0.3">
      <c r="A2" s="3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 t="s">
        <v>17</v>
      </c>
      <c r="I2" s="5" t="s">
        <v>17</v>
      </c>
      <c r="J2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H1" workbookViewId="0">
      <selection activeCell="N3" sqref="N3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28" customWidth="1"/>
    <col min="5" max="5" width="14" customWidth="1"/>
    <col min="6" max="6" width="28" customWidth="1"/>
    <col min="7" max="10" width="14" customWidth="1"/>
    <col min="11" max="11" width="28" customWidth="1"/>
    <col min="12" max="21" width="14" customWidth="1"/>
    <col min="22" max="23" width="28" customWidth="1"/>
  </cols>
  <sheetData>
    <row r="1" spans="1:22" x14ac:dyDescent="0.3">
      <c r="A1" s="63"/>
      <c r="B1" s="63"/>
      <c r="C1" s="63"/>
      <c r="D1" s="63"/>
      <c r="E1" s="63"/>
      <c r="F1" s="63"/>
      <c r="G1" s="63"/>
      <c r="H1" s="63" t="s">
        <v>1648</v>
      </c>
      <c r="I1" s="63"/>
      <c r="J1" s="63"/>
      <c r="K1" s="63"/>
      <c r="L1" s="63" t="s">
        <v>1647</v>
      </c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36" customHeight="1" x14ac:dyDescent="0.3">
      <c r="A2" s="1" t="s">
        <v>0</v>
      </c>
      <c r="B2" s="1" t="s">
        <v>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</row>
    <row r="3" spans="1:22" ht="13.05" customHeight="1" x14ac:dyDescent="0.3">
      <c r="A3" s="3" t="s">
        <v>10</v>
      </c>
      <c r="B3" s="3" t="s">
        <v>11</v>
      </c>
      <c r="C3" s="4" t="s">
        <v>12</v>
      </c>
      <c r="D3" s="3" t="s">
        <v>39</v>
      </c>
      <c r="E3" s="4" t="s">
        <v>40</v>
      </c>
      <c r="F3" s="3" t="s">
        <v>41</v>
      </c>
      <c r="G3" s="4" t="s">
        <v>12</v>
      </c>
      <c r="H3" s="6">
        <v>68.683899999999994</v>
      </c>
      <c r="I3" s="6">
        <v>68.683934598623452</v>
      </c>
      <c r="J3" s="6">
        <v>69.320392294928894</v>
      </c>
      <c r="K3" s="7">
        <v>-9.1809999999999999E-3</v>
      </c>
      <c r="L3" s="6">
        <v>72015275.439999998</v>
      </c>
      <c r="M3" s="6">
        <v>72015275.439999998</v>
      </c>
      <c r="N3" s="6">
        <v>72682602.909999996</v>
      </c>
      <c r="O3" s="6">
        <v>72682602.909999996</v>
      </c>
      <c r="P3" s="6">
        <v>1048502.4753</v>
      </c>
      <c r="Q3" s="6">
        <v>0</v>
      </c>
      <c r="R3" s="3"/>
      <c r="S3" s="3"/>
      <c r="T3" s="6">
        <v>1</v>
      </c>
      <c r="U3" s="6">
        <v>68.683899999999994</v>
      </c>
      <c r="V3" s="4" t="s">
        <v>42</v>
      </c>
    </row>
    <row r="4" spans="1:22" ht="13.05" customHeight="1" x14ac:dyDescent="0.3">
      <c r="A4" s="3"/>
      <c r="B4" s="3"/>
      <c r="C4" s="4"/>
      <c r="D4" s="3"/>
      <c r="E4" s="4"/>
      <c r="F4" s="3"/>
      <c r="G4" s="4"/>
      <c r="H4" s="6"/>
      <c r="I4" s="6"/>
      <c r="J4" s="6"/>
      <c r="K4" s="7"/>
      <c r="L4" s="6"/>
      <c r="M4" s="6"/>
      <c r="N4" s="6"/>
      <c r="O4" s="6"/>
      <c r="P4" s="6"/>
      <c r="Q4" s="6"/>
      <c r="R4" s="3"/>
      <c r="S4" s="3"/>
      <c r="T4" s="6"/>
      <c r="U4" s="6"/>
      <c r="V4" s="4"/>
    </row>
    <row r="5" spans="1:22" ht="13.05" customHeight="1" x14ac:dyDescent="0.3">
      <c r="A5" s="8" t="s">
        <v>43</v>
      </c>
      <c r="B5" s="3"/>
      <c r="C5" s="4"/>
      <c r="D5" s="3"/>
      <c r="E5" s="4"/>
      <c r="F5" s="3"/>
      <c r="G5" s="4"/>
      <c r="H5" s="6"/>
      <c r="I5" s="6"/>
      <c r="J5" s="6"/>
      <c r="K5" s="7"/>
      <c r="L5" s="9">
        <v>72015275.439999998</v>
      </c>
      <c r="M5" s="6"/>
      <c r="N5" s="9">
        <v>72682602.909999996</v>
      </c>
      <c r="O5" s="6"/>
      <c r="P5" s="6"/>
      <c r="Q5" s="6"/>
      <c r="R5" s="3"/>
      <c r="S5" s="3"/>
      <c r="T5" s="6"/>
      <c r="U5" s="6"/>
      <c r="V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A51"/>
  <sheetViews>
    <sheetView tabSelected="1" topLeftCell="A17" workbookViewId="0">
      <pane xSplit="3" topLeftCell="BP1" activePane="topRight" state="frozen"/>
      <selection activeCell="H31" sqref="H31:H32"/>
      <selection pane="topRight" activeCell="BW22" sqref="BW22"/>
    </sheetView>
  </sheetViews>
  <sheetFormatPr defaultRowHeight="14.4" x14ac:dyDescent="0.3"/>
  <cols>
    <col min="1" max="1" width="9.33203125" customWidth="1"/>
    <col min="2" max="2" width="28" customWidth="1"/>
    <col min="3" max="3" width="14" customWidth="1"/>
    <col min="4" max="4" width="34.88671875" style="43" customWidth="1"/>
    <col min="5" max="8" width="28" customWidth="1"/>
    <col min="9" max="9" width="14" customWidth="1"/>
    <col min="10" max="16" width="28" customWidth="1"/>
    <col min="17" max="24" width="14" customWidth="1"/>
    <col min="25" max="25" width="28" customWidth="1"/>
    <col min="26" max="26" width="14" customWidth="1"/>
    <col min="27" max="27" width="28" customWidth="1"/>
    <col min="28" max="45" width="14" customWidth="1"/>
    <col min="46" max="50" width="28" customWidth="1"/>
    <col min="51" max="55" width="14" customWidth="1"/>
    <col min="56" max="56" width="28" customWidth="1"/>
    <col min="57" max="57" width="14" customWidth="1"/>
    <col min="58" max="59" width="28" customWidth="1"/>
    <col min="60" max="61" width="14" customWidth="1"/>
    <col min="62" max="62" width="28" customWidth="1"/>
    <col min="63" max="64" width="14" customWidth="1"/>
    <col min="66" max="66" width="12.6640625" bestFit="1" customWidth="1"/>
    <col min="67" max="67" width="16" bestFit="1" customWidth="1"/>
    <col min="69" max="69" width="9.5546875" bestFit="1" customWidth="1"/>
    <col min="73" max="73" width="26.5546875" bestFit="1" customWidth="1"/>
    <col min="74" max="74" width="26.5546875" customWidth="1"/>
    <col min="75" max="75" width="28.33203125" bestFit="1" customWidth="1"/>
    <col min="76" max="76" width="14.6640625" customWidth="1"/>
    <col min="77" max="77" width="32.33203125" customWidth="1"/>
    <col min="78" max="78" width="17.6640625" customWidth="1"/>
    <col min="79" max="79" width="8.88671875" style="39"/>
  </cols>
  <sheetData>
    <row r="1" spans="1:79" ht="24" customHeight="1" x14ac:dyDescent="0.3">
      <c r="A1" s="1" t="s">
        <v>0</v>
      </c>
      <c r="B1" s="1" t="s">
        <v>520</v>
      </c>
      <c r="C1" s="1" t="s">
        <v>2</v>
      </c>
      <c r="D1" s="22" t="s">
        <v>1514</v>
      </c>
      <c r="E1" s="26" t="s">
        <v>521</v>
      </c>
      <c r="F1" s="26" t="s">
        <v>522</v>
      </c>
      <c r="G1" s="22" t="s">
        <v>447</v>
      </c>
      <c r="H1" s="22" t="s">
        <v>523</v>
      </c>
      <c r="I1" s="22" t="s">
        <v>524</v>
      </c>
      <c r="J1" s="22" t="s">
        <v>525</v>
      </c>
      <c r="K1" s="22" t="s">
        <v>526</v>
      </c>
      <c r="L1" s="1"/>
      <c r="M1" s="1" t="s">
        <v>527</v>
      </c>
      <c r="N1" s="1" t="s">
        <v>528</v>
      </c>
      <c r="O1" s="26" t="s">
        <v>448</v>
      </c>
      <c r="P1" s="1" t="s">
        <v>529</v>
      </c>
      <c r="Q1" s="26" t="s">
        <v>449</v>
      </c>
      <c r="R1" s="26" t="s">
        <v>530</v>
      </c>
      <c r="S1" s="26" t="s">
        <v>531</v>
      </c>
      <c r="T1" s="1" t="s">
        <v>532</v>
      </c>
      <c r="U1" s="1" t="s">
        <v>533</v>
      </c>
      <c r="V1" s="1" t="s">
        <v>451</v>
      </c>
      <c r="W1" s="1" t="s">
        <v>534</v>
      </c>
      <c r="X1" s="1" t="s">
        <v>452</v>
      </c>
      <c r="Y1" s="1" t="s">
        <v>453</v>
      </c>
      <c r="Z1" s="1" t="s">
        <v>535</v>
      </c>
      <c r="AA1" s="1" t="s">
        <v>536</v>
      </c>
      <c r="AB1" s="1" t="s">
        <v>537</v>
      </c>
      <c r="AC1" s="1" t="s">
        <v>538</v>
      </c>
      <c r="AD1" s="1" t="s">
        <v>539</v>
      </c>
      <c r="AE1" s="26" t="s">
        <v>540</v>
      </c>
      <c r="AF1" s="1" t="s">
        <v>541</v>
      </c>
      <c r="AG1" s="26" t="s">
        <v>542</v>
      </c>
      <c r="AH1" s="26" t="s">
        <v>543</v>
      </c>
      <c r="AI1" s="26" t="s">
        <v>544</v>
      </c>
      <c r="AJ1" s="1" t="s">
        <v>545</v>
      </c>
      <c r="AK1" s="1" t="s">
        <v>546</v>
      </c>
      <c r="AL1" s="1" t="s">
        <v>547</v>
      </c>
      <c r="AM1" s="1" t="s">
        <v>548</v>
      </c>
      <c r="AN1" s="1" t="s">
        <v>549</v>
      </c>
      <c r="AO1" s="1" t="s">
        <v>550</v>
      </c>
      <c r="AP1" s="1" t="s">
        <v>551</v>
      </c>
      <c r="AQ1" s="1" t="s">
        <v>552</v>
      </c>
      <c r="AR1" s="1" t="s">
        <v>553</v>
      </c>
      <c r="AS1" s="1" t="s">
        <v>554</v>
      </c>
      <c r="AT1" s="1" t="s">
        <v>555</v>
      </c>
      <c r="AU1" s="15" t="s">
        <v>425</v>
      </c>
      <c r="AV1" s="15" t="s">
        <v>427</v>
      </c>
      <c r="AW1" s="15" t="s">
        <v>556</v>
      </c>
      <c r="AX1" s="15" t="s">
        <v>450</v>
      </c>
      <c r="AY1" s="1" t="s">
        <v>557</v>
      </c>
      <c r="AZ1" s="2" t="s">
        <v>558</v>
      </c>
      <c r="BA1" s="2" t="s">
        <v>559</v>
      </c>
      <c r="BB1" s="2" t="s">
        <v>560</v>
      </c>
      <c r="BC1" s="2" t="s">
        <v>561</v>
      </c>
      <c r="BD1" s="2" t="s">
        <v>562</v>
      </c>
      <c r="BE1" s="2" t="s">
        <v>563</v>
      </c>
      <c r="BF1" s="2" t="s">
        <v>564</v>
      </c>
      <c r="BG1" s="2" t="s">
        <v>565</v>
      </c>
      <c r="BH1" s="2" t="s">
        <v>566</v>
      </c>
      <c r="BI1" s="2" t="s">
        <v>567</v>
      </c>
      <c r="BJ1" s="2" t="s">
        <v>568</v>
      </c>
      <c r="BK1" s="2" t="s">
        <v>569</v>
      </c>
      <c r="BL1" s="21" t="s">
        <v>1507</v>
      </c>
      <c r="BM1" s="21" t="s">
        <v>1508</v>
      </c>
      <c r="BN1" s="21" t="s">
        <v>1664</v>
      </c>
      <c r="BO1" s="21" t="s">
        <v>1665</v>
      </c>
      <c r="BP1" s="21" t="s">
        <v>1666</v>
      </c>
      <c r="BQ1" s="21" t="s">
        <v>1668</v>
      </c>
      <c r="BR1" s="21" t="s">
        <v>1669</v>
      </c>
      <c r="BU1" t="s">
        <v>1667</v>
      </c>
      <c r="BV1" s="74">
        <v>45657</v>
      </c>
    </row>
    <row r="2" spans="1:79" ht="24" customHeight="1" x14ac:dyDescent="0.3">
      <c r="A2" s="3" t="s">
        <v>10</v>
      </c>
      <c r="B2" s="3" t="s">
        <v>11</v>
      </c>
      <c r="C2" s="4" t="s">
        <v>12</v>
      </c>
      <c r="D2" s="25" t="s">
        <v>1515</v>
      </c>
      <c r="E2" s="29" t="s">
        <v>60</v>
      </c>
      <c r="F2" s="29" t="s">
        <v>570</v>
      </c>
      <c r="G2" s="28" t="s">
        <v>55</v>
      </c>
      <c r="H2" s="28" t="s">
        <v>466</v>
      </c>
      <c r="I2" s="25" t="s">
        <v>571</v>
      </c>
      <c r="J2" s="28" t="s">
        <v>572</v>
      </c>
      <c r="K2" s="28"/>
      <c r="L2" s="3"/>
      <c r="M2" s="3"/>
      <c r="N2" s="3"/>
      <c r="O2" s="29" t="s">
        <v>467</v>
      </c>
      <c r="P2" s="3"/>
      <c r="Q2" s="27" t="s">
        <v>12</v>
      </c>
      <c r="R2" s="31" t="s">
        <v>573</v>
      </c>
      <c r="S2" s="32">
        <v>10000000</v>
      </c>
      <c r="T2" s="6">
        <v>0</v>
      </c>
      <c r="U2" s="6">
        <v>10000000</v>
      </c>
      <c r="V2" s="6">
        <v>100.357</v>
      </c>
      <c r="W2" s="3" t="s">
        <v>13</v>
      </c>
      <c r="X2" s="6">
        <v>100.46899999999999</v>
      </c>
      <c r="Y2" s="3">
        <v>-1.11477E-3</v>
      </c>
      <c r="Z2" s="6">
        <v>99.378</v>
      </c>
      <c r="AA2" s="7">
        <v>2.8750000000000001E-2</v>
      </c>
      <c r="AB2" s="6">
        <v>0</v>
      </c>
      <c r="AC2" s="6">
        <v>0</v>
      </c>
      <c r="AD2" s="6">
        <v>9937800</v>
      </c>
      <c r="AE2" s="32">
        <v>9937800</v>
      </c>
      <c r="AF2" s="6">
        <v>10035700</v>
      </c>
      <c r="AG2" s="33">
        <v>10035700</v>
      </c>
      <c r="AH2" s="33">
        <v>97900</v>
      </c>
      <c r="AI2" s="33">
        <v>0</v>
      </c>
      <c r="AJ2" s="6">
        <v>97900</v>
      </c>
      <c r="AK2" s="6">
        <v>-11200</v>
      </c>
      <c r="AL2" s="6">
        <v>0</v>
      </c>
      <c r="AM2" s="6">
        <v>60650.68</v>
      </c>
      <c r="AN2" s="6">
        <v>60650.68</v>
      </c>
      <c r="AO2" s="6">
        <v>24417.8</v>
      </c>
      <c r="AP2" s="6">
        <v>0</v>
      </c>
      <c r="AQ2" s="6">
        <v>42539.199999999997</v>
      </c>
      <c r="AR2" s="6">
        <v>10096350.68</v>
      </c>
      <c r="AS2" s="6">
        <v>10096350.68</v>
      </c>
      <c r="AT2" s="7">
        <v>0.14019999999999999</v>
      </c>
      <c r="AU2" s="7">
        <v>-1.5409000000000001E-4</v>
      </c>
      <c r="AV2" s="7">
        <v>0</v>
      </c>
      <c r="AW2" s="7">
        <v>3.3595000000000001E-4</v>
      </c>
      <c r="AX2" s="7">
        <v>1.8186E-4</v>
      </c>
      <c r="AY2" s="3"/>
      <c r="AZ2" s="18" t="s">
        <v>574</v>
      </c>
      <c r="BA2" s="5"/>
      <c r="BB2" s="5"/>
      <c r="BC2" s="5"/>
      <c r="BD2" s="5"/>
      <c r="BE2" s="5" t="s">
        <v>575</v>
      </c>
      <c r="BF2" s="5" t="s">
        <v>576</v>
      </c>
      <c r="BG2" s="5" t="s">
        <v>221</v>
      </c>
      <c r="BH2" s="18" t="s">
        <v>459</v>
      </c>
      <c r="BI2" s="18" t="s">
        <v>577</v>
      </c>
      <c r="BJ2" s="18" t="s">
        <v>213</v>
      </c>
      <c r="BK2" s="18" t="s">
        <v>42</v>
      </c>
      <c r="BL2" s="23">
        <f>+AG2</f>
        <v>10035700</v>
      </c>
      <c r="BM2" t="str">
        <f>IF(BL2&gt;0,"Long","Short")</f>
        <v>Long</v>
      </c>
      <c r="BN2" s="74">
        <f>R2-$BV$1</f>
        <v>288</v>
      </c>
      <c r="BO2" s="72" t="str">
        <f>IF(BN2&lt;=31,"Less than 1 Month",IF(BN2&lt;=92,"1 - 3 Months",IF(BN2&lt;=365,"3 - 12 Months",IF(BN2&lt;=1095,"1 - 3 Years",IF(BN2&lt;=1825,"3 - 5 Years","Greater than 5 Years")))))</f>
        <v>3 - 12 Months</v>
      </c>
      <c r="BU2" s="52" t="s">
        <v>10</v>
      </c>
      <c r="BV2" s="53" t="s">
        <v>1616</v>
      </c>
      <c r="BW2" s="66" t="s">
        <v>531</v>
      </c>
      <c r="BX2" s="67"/>
      <c r="BY2" s="67"/>
      <c r="BZ2" s="68"/>
    </row>
    <row r="3" spans="1:79" ht="13.05" customHeight="1" x14ac:dyDescent="0.3">
      <c r="A3" s="3" t="s">
        <v>10</v>
      </c>
      <c r="B3" s="3" t="s">
        <v>11</v>
      </c>
      <c r="C3" s="4" t="s">
        <v>12</v>
      </c>
      <c r="D3" s="58" t="s">
        <v>1515</v>
      </c>
      <c r="E3" s="29" t="s">
        <v>60</v>
      </c>
      <c r="F3" s="29" t="s">
        <v>570</v>
      </c>
      <c r="G3" s="28" t="s">
        <v>55</v>
      </c>
      <c r="H3" s="28" t="s">
        <v>510</v>
      </c>
      <c r="I3" s="25" t="s">
        <v>571</v>
      </c>
      <c r="J3" s="28" t="s">
        <v>578</v>
      </c>
      <c r="K3" s="28"/>
      <c r="L3" s="3"/>
      <c r="M3" s="3"/>
      <c r="N3" s="3"/>
      <c r="O3" s="29" t="s">
        <v>511</v>
      </c>
      <c r="P3" s="3"/>
      <c r="Q3" s="27" t="s">
        <v>12</v>
      </c>
      <c r="R3" s="31" t="s">
        <v>579</v>
      </c>
      <c r="S3" s="32">
        <v>10700000</v>
      </c>
      <c r="T3" s="6">
        <v>0</v>
      </c>
      <c r="U3" s="6">
        <v>10700000</v>
      </c>
      <c r="V3" s="6">
        <v>97.518154999999993</v>
      </c>
      <c r="W3" s="3" t="s">
        <v>13</v>
      </c>
      <c r="X3" s="6">
        <v>97.604900000000001</v>
      </c>
      <c r="Y3" s="3">
        <v>-8.8873999999999995E-4</v>
      </c>
      <c r="Z3" s="6">
        <v>93.251999999999995</v>
      </c>
      <c r="AA3" s="7">
        <v>7.4999999999999997E-3</v>
      </c>
      <c r="AB3" s="6">
        <v>0</v>
      </c>
      <c r="AC3" s="6">
        <v>0</v>
      </c>
      <c r="AD3" s="6">
        <v>9977964</v>
      </c>
      <c r="AE3" s="32">
        <v>9977964</v>
      </c>
      <c r="AF3" s="6">
        <v>10434442.59</v>
      </c>
      <c r="AG3" s="33">
        <v>10434442.59</v>
      </c>
      <c r="AH3" s="33">
        <v>456478.59</v>
      </c>
      <c r="AI3" s="33">
        <v>0</v>
      </c>
      <c r="AJ3" s="6">
        <v>456478.59</v>
      </c>
      <c r="AK3" s="6">
        <v>-9281.7099999999991</v>
      </c>
      <c r="AL3" s="6">
        <v>0</v>
      </c>
      <c r="AM3" s="6">
        <v>15830.14</v>
      </c>
      <c r="AN3" s="6">
        <v>15830.14</v>
      </c>
      <c r="AO3" s="6">
        <v>6815.76</v>
      </c>
      <c r="AP3" s="6">
        <v>0</v>
      </c>
      <c r="AQ3" s="6">
        <v>320188.3</v>
      </c>
      <c r="AR3" s="6">
        <v>10450272.73</v>
      </c>
      <c r="AS3" s="6">
        <v>10450272.73</v>
      </c>
      <c r="AT3" s="7">
        <v>0.14510000000000001</v>
      </c>
      <c r="AU3" s="7">
        <v>-1.2769999999999999E-4</v>
      </c>
      <c r="AV3" s="7">
        <v>0</v>
      </c>
      <c r="AW3" s="7">
        <v>9.3770000000000005E-5</v>
      </c>
      <c r="AX3" s="7">
        <v>-3.3930000000000002E-5</v>
      </c>
      <c r="AY3" s="3"/>
      <c r="AZ3" s="18" t="s">
        <v>574</v>
      </c>
      <c r="BA3" s="5"/>
      <c r="BB3" s="5"/>
      <c r="BC3" s="5"/>
      <c r="BD3" s="5"/>
      <c r="BE3" s="5" t="s">
        <v>580</v>
      </c>
      <c r="BF3" s="5" t="s">
        <v>581</v>
      </c>
      <c r="BG3" s="5" t="s">
        <v>221</v>
      </c>
      <c r="BH3" s="18" t="s">
        <v>459</v>
      </c>
      <c r="BI3" s="18" t="s">
        <v>577</v>
      </c>
      <c r="BJ3" s="18" t="s">
        <v>213</v>
      </c>
      <c r="BK3" s="18" t="s">
        <v>42</v>
      </c>
      <c r="BL3" s="23">
        <f t="shared" ref="BL3:BL14" si="0">+AG3</f>
        <v>10434442.59</v>
      </c>
      <c r="BM3" t="str">
        <f t="shared" ref="BM3:BM14" si="1">IF(BL3&gt;0,"Long","Short")</f>
        <v>Long</v>
      </c>
      <c r="BN3" s="74">
        <f t="shared" ref="BN3:BN41" si="2">R3-$BV$1</f>
        <v>658</v>
      </c>
      <c r="BO3" s="72" t="str">
        <f t="shared" ref="BO3:BO41" si="3">IF(BN3&lt;=31,"Less than 1 Month",IF(BN3&lt;=92,"1 - 3 Months",IF(BN3&lt;=365,"3 - 12 Months",IF(BN3&lt;=1095,"1 - 3 Years",IF(BN3&lt;=1825,"3 - 5 Years","Greater than 5 Years")))))</f>
        <v>1 - 3 Years</v>
      </c>
      <c r="BU3" s="52" t="s">
        <v>1540</v>
      </c>
      <c r="BV3" s="52" t="s">
        <v>1557</v>
      </c>
      <c r="BW3" s="44" t="s">
        <v>1542</v>
      </c>
      <c r="BX3" s="44" t="s">
        <v>1510</v>
      </c>
      <c r="BY3" s="44" t="s">
        <v>1543</v>
      </c>
      <c r="BZ3" s="44" t="s">
        <v>1509</v>
      </c>
      <c r="CA3" s="40"/>
    </row>
    <row r="4" spans="1:79" ht="13.05" customHeight="1" x14ac:dyDescent="0.3">
      <c r="A4" s="3" t="s">
        <v>10</v>
      </c>
      <c r="B4" s="3" t="s">
        <v>11</v>
      </c>
      <c r="C4" s="4" t="s">
        <v>12</v>
      </c>
      <c r="D4" s="25" t="s">
        <v>1515</v>
      </c>
      <c r="E4" s="29" t="s">
        <v>60</v>
      </c>
      <c r="F4" s="29" t="s">
        <v>570</v>
      </c>
      <c r="G4" s="28" t="s">
        <v>55</v>
      </c>
      <c r="H4" s="28" t="s">
        <v>470</v>
      </c>
      <c r="I4" s="25" t="s">
        <v>571</v>
      </c>
      <c r="J4" s="28" t="s">
        <v>582</v>
      </c>
      <c r="K4" s="28"/>
      <c r="L4" s="3"/>
      <c r="M4" s="3"/>
      <c r="N4" s="3"/>
      <c r="O4" s="29" t="s">
        <v>471</v>
      </c>
      <c r="P4" s="3"/>
      <c r="Q4" s="27" t="s">
        <v>12</v>
      </c>
      <c r="R4" s="31" t="s">
        <v>583</v>
      </c>
      <c r="S4" s="32">
        <v>3000000</v>
      </c>
      <c r="T4" s="6">
        <v>0</v>
      </c>
      <c r="U4" s="6">
        <v>3000000</v>
      </c>
      <c r="V4" s="6">
        <v>96.337999999999994</v>
      </c>
      <c r="W4" s="3" t="s">
        <v>13</v>
      </c>
      <c r="X4" s="6">
        <v>96.298000000000002</v>
      </c>
      <c r="Y4" s="3">
        <v>4.1538000000000002E-4</v>
      </c>
      <c r="Z4" s="6">
        <v>91.108999999999995</v>
      </c>
      <c r="AA4" s="7">
        <v>2.5000000000000001E-3</v>
      </c>
      <c r="AB4" s="6">
        <v>0</v>
      </c>
      <c r="AC4" s="6">
        <v>0</v>
      </c>
      <c r="AD4" s="6">
        <v>2733270</v>
      </c>
      <c r="AE4" s="32">
        <v>2733270</v>
      </c>
      <c r="AF4" s="6">
        <v>2890140</v>
      </c>
      <c r="AG4" s="33">
        <v>2890140</v>
      </c>
      <c r="AH4" s="33">
        <v>156870</v>
      </c>
      <c r="AI4" s="33">
        <v>0</v>
      </c>
      <c r="AJ4" s="6">
        <v>156870</v>
      </c>
      <c r="AK4" s="6">
        <v>1200</v>
      </c>
      <c r="AL4" s="6">
        <v>0</v>
      </c>
      <c r="AM4" s="6">
        <v>739.73</v>
      </c>
      <c r="AN4" s="6">
        <v>739.73</v>
      </c>
      <c r="AO4" s="6">
        <v>636.99</v>
      </c>
      <c r="AP4" s="6">
        <v>0</v>
      </c>
      <c r="AQ4" s="6">
        <v>102820.65</v>
      </c>
      <c r="AR4" s="6">
        <v>2890879.73</v>
      </c>
      <c r="AS4" s="6">
        <v>2890879.73</v>
      </c>
      <c r="AT4" s="7">
        <v>4.0099999999999997E-2</v>
      </c>
      <c r="AU4" s="7">
        <v>1.6509999999999999E-5</v>
      </c>
      <c r="AV4" s="7">
        <v>0</v>
      </c>
      <c r="AW4" s="7">
        <v>8.7600000000000008E-6</v>
      </c>
      <c r="AX4" s="7">
        <v>2.527E-5</v>
      </c>
      <c r="AY4" s="3"/>
      <c r="AZ4" s="18" t="s">
        <v>574</v>
      </c>
      <c r="BA4" s="5"/>
      <c r="BB4" s="5"/>
      <c r="BC4" s="5"/>
      <c r="BD4" s="5"/>
      <c r="BE4" s="5" t="s">
        <v>584</v>
      </c>
      <c r="BF4" s="5" t="s">
        <v>585</v>
      </c>
      <c r="BG4" s="5" t="s">
        <v>221</v>
      </c>
      <c r="BH4" s="18" t="s">
        <v>459</v>
      </c>
      <c r="BI4" s="18" t="s">
        <v>577</v>
      </c>
      <c r="BJ4" s="18" t="s">
        <v>213</v>
      </c>
      <c r="BK4" s="18" t="s">
        <v>42</v>
      </c>
      <c r="BL4" s="23">
        <f t="shared" si="0"/>
        <v>2890140</v>
      </c>
      <c r="BM4" t="str">
        <f t="shared" si="1"/>
        <v>Long</v>
      </c>
      <c r="BN4" s="74">
        <f t="shared" si="2"/>
        <v>694</v>
      </c>
      <c r="BO4" s="72" t="str">
        <f t="shared" si="3"/>
        <v>1 - 3 Years</v>
      </c>
      <c r="BU4" s="54" t="s">
        <v>60</v>
      </c>
      <c r="BV4" s="54" t="s">
        <v>570</v>
      </c>
      <c r="BW4" s="41" t="s">
        <v>1558</v>
      </c>
      <c r="BX4" s="41">
        <f>SUMIFS(S:S,E:E,BU4,BM:BM,$BX$3)</f>
        <v>43700000</v>
      </c>
      <c r="BY4" s="41" t="s">
        <v>1559</v>
      </c>
      <c r="BZ4" s="41">
        <f>SUMIFS(BT:BT,G:G,BX12,BU:BU,$BZ$3)</f>
        <v>0</v>
      </c>
      <c r="CA4" s="40"/>
    </row>
    <row r="5" spans="1:79" ht="13.05" customHeight="1" x14ac:dyDescent="0.3">
      <c r="A5" s="3" t="s">
        <v>10</v>
      </c>
      <c r="B5" s="3" t="s">
        <v>11</v>
      </c>
      <c r="C5" s="4" t="s">
        <v>12</v>
      </c>
      <c r="D5" s="25" t="s">
        <v>1515</v>
      </c>
      <c r="E5" s="29" t="s">
        <v>60</v>
      </c>
      <c r="F5" s="29" t="s">
        <v>570</v>
      </c>
      <c r="G5" s="28" t="s">
        <v>55</v>
      </c>
      <c r="H5" s="28" t="s">
        <v>508</v>
      </c>
      <c r="I5" s="25" t="s">
        <v>571</v>
      </c>
      <c r="J5" s="28" t="s">
        <v>586</v>
      </c>
      <c r="K5" s="28"/>
      <c r="L5" s="3"/>
      <c r="M5" s="3"/>
      <c r="N5" s="3"/>
      <c r="O5" s="29" t="s">
        <v>509</v>
      </c>
      <c r="P5" s="3"/>
      <c r="Q5" s="27" t="s">
        <v>12</v>
      </c>
      <c r="R5" s="31" t="s">
        <v>587</v>
      </c>
      <c r="S5" s="32">
        <v>7000000</v>
      </c>
      <c r="T5" s="6">
        <v>0</v>
      </c>
      <c r="U5" s="6">
        <v>7000000</v>
      </c>
      <c r="V5" s="6">
        <v>95.213999999999999</v>
      </c>
      <c r="W5" s="3" t="s">
        <v>13</v>
      </c>
      <c r="X5" s="6">
        <v>95.251999999999995</v>
      </c>
      <c r="Y5" s="3">
        <v>-3.9894000000000003E-4</v>
      </c>
      <c r="Z5" s="6">
        <v>92.41</v>
      </c>
      <c r="AA5" s="7">
        <v>0</v>
      </c>
      <c r="AB5" s="6">
        <v>0</v>
      </c>
      <c r="AC5" s="6">
        <v>0</v>
      </c>
      <c r="AD5" s="6">
        <v>6468700</v>
      </c>
      <c r="AE5" s="32">
        <v>6468700</v>
      </c>
      <c r="AF5" s="6">
        <v>6664980</v>
      </c>
      <c r="AG5" s="33">
        <v>6664980</v>
      </c>
      <c r="AH5" s="33">
        <v>196280</v>
      </c>
      <c r="AI5" s="33">
        <v>0</v>
      </c>
      <c r="AJ5" s="6">
        <v>196280</v>
      </c>
      <c r="AK5" s="6">
        <v>-2660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134901.34</v>
      </c>
      <c r="AR5" s="6">
        <v>6664980</v>
      </c>
      <c r="AS5" s="6">
        <v>6664980</v>
      </c>
      <c r="AT5" s="7">
        <v>9.2499999999999999E-2</v>
      </c>
      <c r="AU5" s="7">
        <v>-3.6600000000000002E-5</v>
      </c>
      <c r="AV5" s="7">
        <v>0</v>
      </c>
      <c r="AW5" s="7">
        <v>0</v>
      </c>
      <c r="AX5" s="7">
        <v>-3.6600000000000002E-5</v>
      </c>
      <c r="AY5" s="3"/>
      <c r="AZ5" s="18" t="s">
        <v>574</v>
      </c>
      <c r="BA5" s="5"/>
      <c r="BB5" s="5"/>
      <c r="BC5" s="5"/>
      <c r="BD5" s="5"/>
      <c r="BE5" s="5" t="s">
        <v>584</v>
      </c>
      <c r="BF5" s="5" t="s">
        <v>588</v>
      </c>
      <c r="BG5" s="5" t="s">
        <v>221</v>
      </c>
      <c r="BH5" s="18" t="s">
        <v>459</v>
      </c>
      <c r="BI5" s="18" t="s">
        <v>577</v>
      </c>
      <c r="BJ5" s="18" t="s">
        <v>213</v>
      </c>
      <c r="BK5" s="18" t="s">
        <v>42</v>
      </c>
      <c r="BL5" s="23">
        <f t="shared" si="0"/>
        <v>6664980</v>
      </c>
      <c r="BM5" t="str">
        <f t="shared" si="1"/>
        <v>Long</v>
      </c>
      <c r="BN5" s="74">
        <f t="shared" si="2"/>
        <v>786</v>
      </c>
      <c r="BO5" s="72" t="str">
        <f t="shared" si="3"/>
        <v>1 - 3 Years</v>
      </c>
      <c r="BU5" s="54" t="s">
        <v>53</v>
      </c>
      <c r="BV5" s="54" t="s">
        <v>596</v>
      </c>
      <c r="BW5" s="41" t="s">
        <v>1560</v>
      </c>
      <c r="BX5" s="41">
        <f>SUMIFS(S:S,E:E,BU5,BM:BM,$BX$3)</f>
        <v>0</v>
      </c>
      <c r="BY5" s="41" t="s">
        <v>1563</v>
      </c>
      <c r="BZ5" s="41">
        <f>SUMIFS(BT:BT,G:G,BX13,BU:BU,$BZ$3)</f>
        <v>0</v>
      </c>
      <c r="CA5" s="40"/>
    </row>
    <row r="6" spans="1:79" ht="13.05" customHeight="1" x14ac:dyDescent="0.3">
      <c r="A6" s="3" t="s">
        <v>10</v>
      </c>
      <c r="B6" s="3" t="s">
        <v>11</v>
      </c>
      <c r="C6" s="4" t="s">
        <v>12</v>
      </c>
      <c r="D6" s="25" t="s">
        <v>1515</v>
      </c>
      <c r="E6" s="29" t="s">
        <v>60</v>
      </c>
      <c r="F6" s="29" t="s">
        <v>570</v>
      </c>
      <c r="G6" s="28" t="s">
        <v>55</v>
      </c>
      <c r="H6" s="50" t="s">
        <v>512</v>
      </c>
      <c r="I6" s="25" t="s">
        <v>571</v>
      </c>
      <c r="J6" s="28" t="s">
        <v>589</v>
      </c>
      <c r="K6" s="28"/>
      <c r="L6" s="3"/>
      <c r="M6" s="3"/>
      <c r="N6" s="3"/>
      <c r="O6" s="29" t="s">
        <v>513</v>
      </c>
      <c r="P6" s="3"/>
      <c r="Q6" s="27" t="s">
        <v>12</v>
      </c>
      <c r="R6" s="31" t="s">
        <v>590</v>
      </c>
      <c r="S6" s="32">
        <v>3000000</v>
      </c>
      <c r="T6" s="6">
        <v>0</v>
      </c>
      <c r="U6" s="6">
        <v>3000000</v>
      </c>
      <c r="V6" s="6">
        <v>96.540999999999997</v>
      </c>
      <c r="W6" s="3" t="s">
        <v>13</v>
      </c>
      <c r="X6" s="6">
        <v>96.600999999999999</v>
      </c>
      <c r="Y6" s="3">
        <v>-6.2111000000000002E-4</v>
      </c>
      <c r="Z6" s="6">
        <v>90.366</v>
      </c>
      <c r="AA6" s="7">
        <v>0</v>
      </c>
      <c r="AB6" s="6">
        <v>0</v>
      </c>
      <c r="AC6" s="6">
        <v>0</v>
      </c>
      <c r="AD6" s="6">
        <v>2710980</v>
      </c>
      <c r="AE6" s="32">
        <v>2710980</v>
      </c>
      <c r="AF6" s="6">
        <v>2896230</v>
      </c>
      <c r="AG6" s="33">
        <v>2896230</v>
      </c>
      <c r="AH6" s="33">
        <v>185250</v>
      </c>
      <c r="AI6" s="33">
        <v>0</v>
      </c>
      <c r="AJ6" s="6">
        <v>185250</v>
      </c>
      <c r="AK6" s="6">
        <v>-1800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143266.79999999999</v>
      </c>
      <c r="AR6" s="6">
        <v>2896230</v>
      </c>
      <c r="AS6" s="6">
        <v>2896230</v>
      </c>
      <c r="AT6" s="7">
        <v>4.02E-2</v>
      </c>
      <c r="AU6" s="7">
        <v>-2.4769999999999998E-5</v>
      </c>
      <c r="AV6" s="7">
        <v>0</v>
      </c>
      <c r="AW6" s="7">
        <v>0</v>
      </c>
      <c r="AX6" s="7">
        <v>-2.4769999999999998E-5</v>
      </c>
      <c r="AY6" s="3"/>
      <c r="AZ6" s="18" t="s">
        <v>574</v>
      </c>
      <c r="BA6" s="5"/>
      <c r="BB6" s="5"/>
      <c r="BC6" s="5"/>
      <c r="BD6" s="5"/>
      <c r="BE6" s="5" t="s">
        <v>591</v>
      </c>
      <c r="BF6" s="5" t="s">
        <v>592</v>
      </c>
      <c r="BG6" s="5" t="s">
        <v>221</v>
      </c>
      <c r="BH6" s="18" t="s">
        <v>459</v>
      </c>
      <c r="BI6" s="18" t="s">
        <v>577</v>
      </c>
      <c r="BJ6" s="18" t="s">
        <v>213</v>
      </c>
      <c r="BK6" s="18" t="s">
        <v>42</v>
      </c>
      <c r="BL6" s="23">
        <f t="shared" si="0"/>
        <v>2896230</v>
      </c>
      <c r="BM6" t="str">
        <f t="shared" si="1"/>
        <v>Long</v>
      </c>
      <c r="BN6" s="74">
        <f t="shared" si="2"/>
        <v>647</v>
      </c>
      <c r="BO6" s="72" t="str">
        <f t="shared" si="3"/>
        <v>1 - 3 Years</v>
      </c>
      <c r="BU6" s="54" t="s">
        <v>82</v>
      </c>
      <c r="BV6" s="54" t="s">
        <v>602</v>
      </c>
      <c r="BW6" s="41" t="s">
        <v>1561</v>
      </c>
      <c r="BX6" s="41">
        <f>SUMIFS(S:S,E:E,BU6,BM:BM,$BX$3)</f>
        <v>5276134.3615999995</v>
      </c>
      <c r="BY6" s="41" t="s">
        <v>1564</v>
      </c>
      <c r="BZ6" s="41">
        <f>SUMIFS(BT:BT,G:G,BX14,BU:BU,$BZ$3)</f>
        <v>0</v>
      </c>
      <c r="CA6" s="40"/>
    </row>
    <row r="7" spans="1:79" ht="13.05" customHeight="1" x14ac:dyDescent="0.3">
      <c r="A7" s="3" t="s">
        <v>10</v>
      </c>
      <c r="B7" s="3" t="s">
        <v>11</v>
      </c>
      <c r="C7" s="4" t="s">
        <v>12</v>
      </c>
      <c r="D7" s="25" t="s">
        <v>1515</v>
      </c>
      <c r="E7" s="29" t="s">
        <v>60</v>
      </c>
      <c r="F7" s="29" t="s">
        <v>570</v>
      </c>
      <c r="G7" s="28" t="s">
        <v>55</v>
      </c>
      <c r="H7" s="50" t="s">
        <v>468</v>
      </c>
      <c r="I7" s="25" t="s">
        <v>571</v>
      </c>
      <c r="J7" s="28" t="s">
        <v>593</v>
      </c>
      <c r="K7" s="28"/>
      <c r="L7" s="3"/>
      <c r="M7" s="3"/>
      <c r="N7" s="3"/>
      <c r="O7" s="29" t="s">
        <v>469</v>
      </c>
      <c r="P7" s="3"/>
      <c r="Q7" s="27" t="s">
        <v>12</v>
      </c>
      <c r="R7" s="31" t="s">
        <v>594</v>
      </c>
      <c r="S7" s="32">
        <v>10000000</v>
      </c>
      <c r="T7" s="6">
        <v>0</v>
      </c>
      <c r="U7" s="6">
        <v>10000000</v>
      </c>
      <c r="V7" s="6">
        <v>100.39400000000001</v>
      </c>
      <c r="W7" s="3" t="s">
        <v>13</v>
      </c>
      <c r="X7" s="6">
        <v>100.547</v>
      </c>
      <c r="Y7" s="3">
        <v>-1.5216800000000001E-3</v>
      </c>
      <c r="Z7" s="6">
        <v>97.909000000000006</v>
      </c>
      <c r="AA7" s="7">
        <v>2.5000000000000001E-2</v>
      </c>
      <c r="AB7" s="6">
        <v>0</v>
      </c>
      <c r="AC7" s="6">
        <v>0</v>
      </c>
      <c r="AD7" s="6">
        <v>9790900</v>
      </c>
      <c r="AE7" s="32">
        <v>9790900</v>
      </c>
      <c r="AF7" s="6">
        <v>10039400</v>
      </c>
      <c r="AG7" s="33">
        <v>10039400</v>
      </c>
      <c r="AH7" s="33">
        <v>248500</v>
      </c>
      <c r="AI7" s="33">
        <v>0</v>
      </c>
      <c r="AJ7" s="6">
        <v>248500</v>
      </c>
      <c r="AK7" s="6">
        <v>-15300</v>
      </c>
      <c r="AL7" s="6">
        <v>0</v>
      </c>
      <c r="AM7" s="6">
        <v>67123.289999999994</v>
      </c>
      <c r="AN7" s="6">
        <v>67123.289999999994</v>
      </c>
      <c r="AO7" s="6">
        <v>21232.880000000001</v>
      </c>
      <c r="AP7" s="6">
        <v>0</v>
      </c>
      <c r="AQ7" s="6">
        <v>154724.6</v>
      </c>
      <c r="AR7" s="6">
        <v>10106523.289999999</v>
      </c>
      <c r="AS7" s="6">
        <v>10106523.289999999</v>
      </c>
      <c r="AT7" s="7">
        <v>0.14030000000000001</v>
      </c>
      <c r="AU7" s="7">
        <v>-2.1049999999999999E-4</v>
      </c>
      <c r="AV7" s="7">
        <v>0</v>
      </c>
      <c r="AW7" s="7">
        <v>2.9212999999999998E-4</v>
      </c>
      <c r="AX7" s="7">
        <v>8.1630000000000003E-5</v>
      </c>
      <c r="AY7" s="3"/>
      <c r="AZ7" s="18" t="s">
        <v>574</v>
      </c>
      <c r="BA7" s="5"/>
      <c r="BB7" s="5"/>
      <c r="BC7" s="5"/>
      <c r="BD7" s="5"/>
      <c r="BE7" s="5" t="s">
        <v>584</v>
      </c>
      <c r="BF7" s="5" t="s">
        <v>595</v>
      </c>
      <c r="BG7" s="5" t="s">
        <v>221</v>
      </c>
      <c r="BH7" s="18" t="s">
        <v>459</v>
      </c>
      <c r="BI7" s="18" t="s">
        <v>577</v>
      </c>
      <c r="BJ7" s="18" t="s">
        <v>213</v>
      </c>
      <c r="BK7" s="18" t="s">
        <v>42</v>
      </c>
      <c r="BL7" s="23">
        <f t="shared" si="0"/>
        <v>10039400</v>
      </c>
      <c r="BM7" t="str">
        <f t="shared" si="1"/>
        <v>Long</v>
      </c>
      <c r="BN7" s="74">
        <f t="shared" si="2"/>
        <v>632</v>
      </c>
      <c r="BO7" s="72" t="str">
        <f t="shared" si="3"/>
        <v>1 - 3 Years</v>
      </c>
      <c r="BU7" s="54" t="s">
        <v>68</v>
      </c>
      <c r="BV7" s="54" t="s">
        <v>611</v>
      </c>
      <c r="BW7" s="41" t="s">
        <v>1562</v>
      </c>
      <c r="BX7" s="41">
        <f>SUMIFS(S:S,E:E,BU7,BM:BM,$BX$3)</f>
        <v>58196.523999999998</v>
      </c>
      <c r="BY7" s="41" t="s">
        <v>1565</v>
      </c>
      <c r="BZ7" s="41">
        <f>SUMIFS(BT:BT,G:G,BX15,BU:BU,$BZ$3)</f>
        <v>0</v>
      </c>
      <c r="CA7" s="40"/>
    </row>
    <row r="8" spans="1:79" ht="13.05" customHeight="1" x14ac:dyDescent="0.3">
      <c r="A8" s="10" t="s">
        <v>59</v>
      </c>
      <c r="B8" s="3"/>
      <c r="C8" s="4"/>
      <c r="D8" s="59" t="s">
        <v>1516</v>
      </c>
      <c r="E8" s="30" t="s">
        <v>60</v>
      </c>
      <c r="F8" s="29"/>
      <c r="G8" s="28"/>
      <c r="H8" s="28"/>
      <c r="I8" s="25"/>
      <c r="J8" s="28"/>
      <c r="K8" s="28"/>
      <c r="L8" s="3"/>
      <c r="M8" s="3"/>
      <c r="N8" s="3"/>
      <c r="O8" s="29"/>
      <c r="P8" s="3"/>
      <c r="Q8" s="27"/>
      <c r="R8" s="31"/>
      <c r="S8" s="32"/>
      <c r="T8" s="6"/>
      <c r="U8" s="6"/>
      <c r="V8" s="6"/>
      <c r="W8" s="3"/>
      <c r="X8" s="6"/>
      <c r="Y8" s="3"/>
      <c r="Z8" s="6"/>
      <c r="AA8" s="7"/>
      <c r="AB8" s="6"/>
      <c r="AC8" s="11">
        <v>0</v>
      </c>
      <c r="AD8" s="6"/>
      <c r="AE8" s="32"/>
      <c r="AF8" s="6"/>
      <c r="AG8" s="34">
        <v>42960892.590000004</v>
      </c>
      <c r="AH8" s="33">
        <v>1341278.5900000001</v>
      </c>
      <c r="AI8" s="33">
        <v>0</v>
      </c>
      <c r="AJ8" s="11">
        <v>1341278.5900000001</v>
      </c>
      <c r="AK8" s="11">
        <v>-39041.71</v>
      </c>
      <c r="AL8" s="11">
        <v>0</v>
      </c>
      <c r="AM8" s="6"/>
      <c r="AN8" s="6"/>
      <c r="AO8" s="11">
        <v>53103.43</v>
      </c>
      <c r="AP8" s="11">
        <v>0</v>
      </c>
      <c r="AQ8" s="6">
        <v>898440.89</v>
      </c>
      <c r="AR8" s="6"/>
      <c r="AS8" s="11">
        <v>43105236.43</v>
      </c>
      <c r="AT8" s="12">
        <v>0.59840000000000004</v>
      </c>
      <c r="AU8" s="12">
        <v>-5.3715000000000002E-4</v>
      </c>
      <c r="AV8" s="12">
        <v>0</v>
      </c>
      <c r="AW8" s="12">
        <v>7.3061999999999997E-4</v>
      </c>
      <c r="AX8" s="12">
        <v>1.9347E-4</v>
      </c>
      <c r="AY8" s="3"/>
      <c r="AZ8" s="18"/>
      <c r="BA8" s="5"/>
      <c r="BB8" s="5"/>
      <c r="BC8" s="5"/>
      <c r="BD8" s="5"/>
      <c r="BE8" s="5"/>
      <c r="BF8" s="5"/>
      <c r="BG8" s="5"/>
      <c r="BH8" s="18"/>
      <c r="BI8" s="18"/>
      <c r="BJ8" s="18"/>
      <c r="BK8" s="18"/>
      <c r="BL8" s="23"/>
      <c r="BN8" s="74"/>
      <c r="BO8" s="72"/>
      <c r="BU8" s="54" t="s">
        <v>616</v>
      </c>
      <c r="BV8" s="54"/>
      <c r="BW8" s="41" t="s">
        <v>1544</v>
      </c>
      <c r="BX8" s="41">
        <v>0</v>
      </c>
      <c r="BY8" s="41" t="s">
        <v>1545</v>
      </c>
      <c r="BZ8" s="41">
        <v>0</v>
      </c>
    </row>
    <row r="9" spans="1:79" ht="13.05" customHeight="1" x14ac:dyDescent="0.3">
      <c r="A9" s="3" t="s">
        <v>10</v>
      </c>
      <c r="B9" s="3" t="s">
        <v>11</v>
      </c>
      <c r="C9" s="4" t="s">
        <v>12</v>
      </c>
      <c r="D9" s="25" t="s">
        <v>1630</v>
      </c>
      <c r="E9" s="29" t="s">
        <v>53</v>
      </c>
      <c r="F9" s="29" t="s">
        <v>596</v>
      </c>
      <c r="G9" s="28" t="s">
        <v>55</v>
      </c>
      <c r="H9" s="50" t="s">
        <v>478</v>
      </c>
      <c r="I9" s="25" t="s">
        <v>42</v>
      </c>
      <c r="J9" s="28"/>
      <c r="K9" s="28"/>
      <c r="L9" s="3"/>
      <c r="M9" s="3" t="s">
        <v>597</v>
      </c>
      <c r="N9" s="3"/>
      <c r="O9" s="29" t="s">
        <v>479</v>
      </c>
      <c r="P9" s="3"/>
      <c r="Q9" s="27" t="s">
        <v>216</v>
      </c>
      <c r="R9" s="31"/>
      <c r="S9" s="32">
        <v>19081</v>
      </c>
      <c r="T9" s="6">
        <v>0</v>
      </c>
      <c r="U9" s="6"/>
      <c r="V9" s="6">
        <v>0</v>
      </c>
      <c r="W9" s="3" t="s">
        <v>13</v>
      </c>
      <c r="X9" s="6">
        <v>0</v>
      </c>
      <c r="Y9" s="3">
        <v>0</v>
      </c>
      <c r="Z9" s="6">
        <v>1</v>
      </c>
      <c r="AA9" s="7"/>
      <c r="AB9" s="6">
        <v>0</v>
      </c>
      <c r="AC9" s="6">
        <v>0</v>
      </c>
      <c r="AD9" s="6">
        <v>19081</v>
      </c>
      <c r="AE9" s="32">
        <v>20871.34</v>
      </c>
      <c r="AF9" s="6">
        <v>0</v>
      </c>
      <c r="AG9" s="33"/>
      <c r="AH9" s="33">
        <v>-23065.27</v>
      </c>
      <c r="AI9" s="33">
        <v>2193.9299999999998</v>
      </c>
      <c r="AJ9" s="6">
        <v>-20871.34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3"/>
      <c r="AZ9" s="18" t="s">
        <v>598</v>
      </c>
      <c r="BA9" s="5"/>
      <c r="BB9" s="5"/>
      <c r="BC9" s="5"/>
      <c r="BD9" s="5"/>
      <c r="BE9" s="5" t="s">
        <v>599</v>
      </c>
      <c r="BF9" s="5" t="s">
        <v>600</v>
      </c>
      <c r="BG9" s="5" t="s">
        <v>221</v>
      </c>
      <c r="BH9" s="18" t="s">
        <v>459</v>
      </c>
      <c r="BI9" s="18" t="s">
        <v>601</v>
      </c>
      <c r="BJ9" s="18" t="s">
        <v>213</v>
      </c>
      <c r="BK9" s="18" t="s">
        <v>42</v>
      </c>
      <c r="BL9" s="23">
        <f t="shared" si="0"/>
        <v>0</v>
      </c>
      <c r="BM9" t="str">
        <f t="shared" si="1"/>
        <v>Short</v>
      </c>
      <c r="BN9" s="74">
        <f t="shared" si="2"/>
        <v>-45657</v>
      </c>
      <c r="BO9" s="72" t="str">
        <f t="shared" si="3"/>
        <v>Less than 1 Month</v>
      </c>
      <c r="BU9" s="55" t="s">
        <v>201</v>
      </c>
      <c r="BV9" s="55"/>
      <c r="BW9" s="42"/>
      <c r="BX9" s="42">
        <f t="shared" ref="BX9" si="4">SUM(BX4:BX8)</f>
        <v>49034330.885599993</v>
      </c>
      <c r="BY9" s="42"/>
      <c r="BZ9" s="41">
        <f>SUM(BZ4:BZ8)</f>
        <v>0</v>
      </c>
    </row>
    <row r="10" spans="1:79" ht="13.05" customHeight="1" x14ac:dyDescent="0.3">
      <c r="A10" s="10" t="s">
        <v>59</v>
      </c>
      <c r="B10" s="3"/>
      <c r="C10" s="4"/>
      <c r="D10" s="59" t="s">
        <v>1601</v>
      </c>
      <c r="E10" s="30" t="s">
        <v>53</v>
      </c>
      <c r="F10" s="29"/>
      <c r="G10" s="28"/>
      <c r="H10" s="28"/>
      <c r="I10" s="25"/>
      <c r="J10" s="28"/>
      <c r="K10" s="28"/>
      <c r="L10" s="3"/>
      <c r="M10" s="3"/>
      <c r="N10" s="3"/>
      <c r="O10" s="29"/>
      <c r="P10" s="3"/>
      <c r="Q10" s="27"/>
      <c r="R10" s="31"/>
      <c r="S10" s="32"/>
      <c r="T10" s="6"/>
      <c r="U10" s="6"/>
      <c r="V10" s="6"/>
      <c r="W10" s="3"/>
      <c r="X10" s="6"/>
      <c r="Y10" s="3"/>
      <c r="Z10" s="6"/>
      <c r="AA10" s="7"/>
      <c r="AB10" s="6"/>
      <c r="AC10" s="11">
        <v>0</v>
      </c>
      <c r="AD10" s="6"/>
      <c r="AE10" s="32"/>
      <c r="AF10" s="6"/>
      <c r="AG10" s="34"/>
      <c r="AH10" s="33">
        <v>-23065.27</v>
      </c>
      <c r="AI10" s="33">
        <v>2193.9299999999998</v>
      </c>
      <c r="AJ10" s="11">
        <v>-20871.34</v>
      </c>
      <c r="AK10" s="11">
        <v>0</v>
      </c>
      <c r="AL10" s="11">
        <v>0</v>
      </c>
      <c r="AM10" s="6"/>
      <c r="AN10" s="6"/>
      <c r="AO10" s="11">
        <v>0</v>
      </c>
      <c r="AP10" s="11">
        <v>0</v>
      </c>
      <c r="AQ10" s="6">
        <v>0</v>
      </c>
      <c r="AR10" s="6"/>
      <c r="AS10" s="11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3"/>
      <c r="AZ10" s="18"/>
      <c r="BA10" s="5"/>
      <c r="BB10" s="5"/>
      <c r="BC10" s="5"/>
      <c r="BD10" s="5"/>
      <c r="BE10" s="5"/>
      <c r="BF10" s="5"/>
      <c r="BG10" s="5"/>
      <c r="BH10" s="18"/>
      <c r="BI10" s="18"/>
      <c r="BJ10" s="18"/>
      <c r="BK10" s="18"/>
      <c r="BL10" s="23"/>
      <c r="BN10" s="74"/>
      <c r="BO10" s="72"/>
      <c r="BU10" s="56"/>
      <c r="BV10" s="56"/>
      <c r="BW10" s="38"/>
      <c r="BX10" s="38"/>
      <c r="BY10" s="38"/>
      <c r="BZ10" s="38"/>
    </row>
    <row r="11" spans="1:79" ht="13.05" customHeight="1" x14ac:dyDescent="0.3">
      <c r="A11" s="3" t="s">
        <v>10</v>
      </c>
      <c r="B11" s="3" t="s">
        <v>11</v>
      </c>
      <c r="C11" s="4" t="s">
        <v>12</v>
      </c>
      <c r="D11" s="25" t="s">
        <v>1532</v>
      </c>
      <c r="E11" s="29" t="s">
        <v>82</v>
      </c>
      <c r="F11" s="29" t="s">
        <v>602</v>
      </c>
      <c r="G11" s="28" t="s">
        <v>221</v>
      </c>
      <c r="H11" s="28" t="s">
        <v>457</v>
      </c>
      <c r="I11" s="25" t="s">
        <v>42</v>
      </c>
      <c r="J11" s="28"/>
      <c r="K11" s="28"/>
      <c r="L11" s="3"/>
      <c r="M11" s="3" t="s">
        <v>603</v>
      </c>
      <c r="N11" s="3"/>
      <c r="O11" s="29" t="s">
        <v>458</v>
      </c>
      <c r="P11" s="3"/>
      <c r="Q11" s="27" t="s">
        <v>217</v>
      </c>
      <c r="R11" s="31" t="s">
        <v>604</v>
      </c>
      <c r="S11" s="32">
        <v>4732894.7726999996</v>
      </c>
      <c r="T11" s="6">
        <v>-12531.31</v>
      </c>
      <c r="U11" s="6">
        <v>4732894.7699999996</v>
      </c>
      <c r="V11" s="6">
        <v>99.59</v>
      </c>
      <c r="W11" s="3" t="s">
        <v>13</v>
      </c>
      <c r="X11" s="6">
        <v>99.5</v>
      </c>
      <c r="Y11" s="3">
        <v>9.0452000000000002E-4</v>
      </c>
      <c r="Z11" s="6">
        <v>97.533130999999997</v>
      </c>
      <c r="AA11" s="7"/>
      <c r="AB11" s="6">
        <v>0</v>
      </c>
      <c r="AC11" s="6">
        <v>0</v>
      </c>
      <c r="AD11" s="6">
        <v>4616140.46</v>
      </c>
      <c r="AE11" s="32">
        <v>3946093.73</v>
      </c>
      <c r="AF11" s="6">
        <v>4713489.9000000004</v>
      </c>
      <c r="AG11" s="33">
        <v>4552337.16</v>
      </c>
      <c r="AH11" s="33">
        <v>94021.09</v>
      </c>
      <c r="AI11" s="33">
        <v>512222.34</v>
      </c>
      <c r="AJ11" s="6">
        <v>606243.43000000005</v>
      </c>
      <c r="AK11" s="6">
        <v>98665.98</v>
      </c>
      <c r="AL11" s="6">
        <v>1654.78</v>
      </c>
      <c r="AM11" s="6">
        <v>45088.06</v>
      </c>
      <c r="AN11" s="6">
        <v>43546.51</v>
      </c>
      <c r="AO11" s="6">
        <v>469.22</v>
      </c>
      <c r="AP11" s="6">
        <v>0</v>
      </c>
      <c r="AQ11" s="6">
        <v>0</v>
      </c>
      <c r="AR11" s="6">
        <v>4758577.96</v>
      </c>
      <c r="AS11" s="6">
        <v>4595883.67</v>
      </c>
      <c r="AT11" s="7">
        <v>6.3799999999999996E-2</v>
      </c>
      <c r="AU11" s="7">
        <v>1.35749E-3</v>
      </c>
      <c r="AV11" s="7">
        <v>2.2770000000000001E-5</v>
      </c>
      <c r="AW11" s="7">
        <v>6.46E-6</v>
      </c>
      <c r="AX11" s="7">
        <v>1.38671E-3</v>
      </c>
      <c r="AY11" s="3"/>
      <c r="AZ11" s="18" t="s">
        <v>574</v>
      </c>
      <c r="BA11" s="5"/>
      <c r="BB11" s="5"/>
      <c r="BC11" s="5"/>
      <c r="BD11" s="5"/>
      <c r="BE11" s="5" t="s">
        <v>605</v>
      </c>
      <c r="BF11" s="5" t="s">
        <v>606</v>
      </c>
      <c r="BG11" s="5" t="s">
        <v>221</v>
      </c>
      <c r="BH11" s="18" t="s">
        <v>459</v>
      </c>
      <c r="BI11" s="18" t="s">
        <v>607</v>
      </c>
      <c r="BJ11" s="18" t="s">
        <v>213</v>
      </c>
      <c r="BK11" s="18" t="s">
        <v>42</v>
      </c>
      <c r="BL11" s="23">
        <f t="shared" si="0"/>
        <v>4552337.16</v>
      </c>
      <c r="BM11" t="str">
        <f t="shared" si="1"/>
        <v>Long</v>
      </c>
      <c r="BN11" s="74">
        <f t="shared" si="2"/>
        <v>90</v>
      </c>
      <c r="BO11" s="72" t="str">
        <f t="shared" si="3"/>
        <v>1 - 3 Months</v>
      </c>
      <c r="BU11" s="56"/>
      <c r="BV11" s="57"/>
      <c r="BW11" s="69" t="s">
        <v>1539</v>
      </c>
      <c r="BX11" s="70"/>
      <c r="BY11" s="70"/>
      <c r="BZ11" s="71"/>
    </row>
    <row r="12" spans="1:79" x14ac:dyDescent="0.3">
      <c r="A12" s="3" t="s">
        <v>10</v>
      </c>
      <c r="B12" s="3" t="s">
        <v>11</v>
      </c>
      <c r="C12" s="4" t="s">
        <v>12</v>
      </c>
      <c r="D12" s="25" t="s">
        <v>1532</v>
      </c>
      <c r="E12" s="29" t="s">
        <v>82</v>
      </c>
      <c r="F12" s="29" t="s">
        <v>1602</v>
      </c>
      <c r="G12" s="28" t="s">
        <v>221</v>
      </c>
      <c r="H12" s="28" t="s">
        <v>464</v>
      </c>
      <c r="I12" s="25" t="s">
        <v>42</v>
      </c>
      <c r="J12" s="28"/>
      <c r="K12" s="28"/>
      <c r="L12" s="3"/>
      <c r="M12" s="3" t="s">
        <v>608</v>
      </c>
      <c r="N12" s="3"/>
      <c r="O12" s="29" t="s">
        <v>465</v>
      </c>
      <c r="P12" s="3"/>
      <c r="Q12" s="27" t="s">
        <v>217</v>
      </c>
      <c r="R12" s="31" t="s">
        <v>609</v>
      </c>
      <c r="S12" s="32">
        <v>543239.58889999997</v>
      </c>
      <c r="T12" s="6">
        <v>0</v>
      </c>
      <c r="U12" s="6">
        <v>543239.59</v>
      </c>
      <c r="V12" s="6">
        <v>99.943849</v>
      </c>
      <c r="W12" s="3" t="s">
        <v>13</v>
      </c>
      <c r="X12" s="6">
        <v>98.319331000000005</v>
      </c>
      <c r="Y12" s="3">
        <v>1.6522869999999999E-2</v>
      </c>
      <c r="Z12" s="6">
        <v>100</v>
      </c>
      <c r="AA12" s="7"/>
      <c r="AB12" s="6">
        <v>0</v>
      </c>
      <c r="AC12" s="6">
        <v>0</v>
      </c>
      <c r="AD12" s="6">
        <v>543239.59</v>
      </c>
      <c r="AE12" s="32">
        <v>549726.36</v>
      </c>
      <c r="AF12" s="6">
        <v>542934.55000000005</v>
      </c>
      <c r="AG12" s="33">
        <v>524371.79</v>
      </c>
      <c r="AH12" s="33">
        <v>-294.61</v>
      </c>
      <c r="AI12" s="33">
        <v>-25059.96</v>
      </c>
      <c r="AJ12" s="6">
        <v>-25354.57</v>
      </c>
      <c r="AK12" s="6">
        <v>19399.18</v>
      </c>
      <c r="AL12" s="6">
        <v>0</v>
      </c>
      <c r="AM12" s="6">
        <v>2499.21</v>
      </c>
      <c r="AN12" s="6">
        <v>2413.7600000000002</v>
      </c>
      <c r="AO12" s="6">
        <v>156.94999999999999</v>
      </c>
      <c r="AP12" s="6">
        <v>0</v>
      </c>
      <c r="AQ12" s="6">
        <v>0</v>
      </c>
      <c r="AR12" s="6">
        <v>545433.76</v>
      </c>
      <c r="AS12" s="6">
        <v>526785.55000000005</v>
      </c>
      <c r="AT12" s="7">
        <v>7.3000000000000001E-3</v>
      </c>
      <c r="AU12" s="7">
        <v>2.6689999999999998E-4</v>
      </c>
      <c r="AV12" s="7">
        <v>0</v>
      </c>
      <c r="AW12" s="7">
        <v>2.1600000000000001E-6</v>
      </c>
      <c r="AX12" s="7">
        <v>2.6906E-4</v>
      </c>
      <c r="AY12" s="3"/>
      <c r="AZ12" s="18" t="s">
        <v>574</v>
      </c>
      <c r="BA12" s="5"/>
      <c r="BB12" s="5"/>
      <c r="BC12" s="5"/>
      <c r="BD12" s="5"/>
      <c r="BE12" s="5" t="s">
        <v>605</v>
      </c>
      <c r="BF12" s="5" t="s">
        <v>610</v>
      </c>
      <c r="BG12" s="5" t="s">
        <v>221</v>
      </c>
      <c r="BH12" s="18" t="s">
        <v>459</v>
      </c>
      <c r="BI12" s="18" t="s">
        <v>607</v>
      </c>
      <c r="BJ12" s="18" t="s">
        <v>213</v>
      </c>
      <c r="BK12" s="18" t="s">
        <v>42</v>
      </c>
      <c r="BL12" s="23">
        <f t="shared" si="0"/>
        <v>524371.79</v>
      </c>
      <c r="BM12" t="str">
        <f t="shared" si="1"/>
        <v>Long</v>
      </c>
      <c r="BN12" s="74">
        <f t="shared" si="2"/>
        <v>9</v>
      </c>
      <c r="BO12" s="72" t="str">
        <f t="shared" si="3"/>
        <v>Less than 1 Month</v>
      </c>
      <c r="BU12" s="54" t="s">
        <v>60</v>
      </c>
      <c r="BV12" s="54" t="s">
        <v>570</v>
      </c>
      <c r="BW12" s="41" t="s">
        <v>1566</v>
      </c>
      <c r="BX12" s="41">
        <f>SUMIFS(AE:AE,E:E,BU4,BM:BM,$BX$3)</f>
        <v>41619614</v>
      </c>
      <c r="BY12" s="41" t="s">
        <v>1567</v>
      </c>
      <c r="BZ12" s="41">
        <f>SUMIFS(AE:AE,E:E,BU4,BM:BM,$BZ$3)</f>
        <v>0</v>
      </c>
    </row>
    <row r="13" spans="1:79" ht="13.05" customHeight="1" x14ac:dyDescent="0.3">
      <c r="A13" s="10" t="s">
        <v>59</v>
      </c>
      <c r="B13" s="3"/>
      <c r="C13" s="4"/>
      <c r="D13" s="59" t="s">
        <v>1531</v>
      </c>
      <c r="E13" s="30" t="s">
        <v>82</v>
      </c>
      <c r="F13" s="29"/>
      <c r="G13" s="28"/>
      <c r="H13" s="28"/>
      <c r="I13" s="25"/>
      <c r="J13" s="28"/>
      <c r="K13" s="28"/>
      <c r="L13" s="3"/>
      <c r="M13" s="3"/>
      <c r="N13" s="3"/>
      <c r="O13" s="29"/>
      <c r="P13" s="3"/>
      <c r="Q13" s="27"/>
      <c r="R13" s="31"/>
      <c r="S13" s="32"/>
      <c r="T13" s="6"/>
      <c r="U13" s="6"/>
      <c r="V13" s="6"/>
      <c r="W13" s="3"/>
      <c r="X13" s="6"/>
      <c r="Y13" s="3"/>
      <c r="Z13" s="6"/>
      <c r="AA13" s="7"/>
      <c r="AB13" s="6"/>
      <c r="AC13" s="11">
        <v>0</v>
      </c>
      <c r="AD13" s="6"/>
      <c r="AE13" s="32"/>
      <c r="AF13" s="6"/>
      <c r="AG13" s="34">
        <v>5076708.95</v>
      </c>
      <c r="AH13" s="33">
        <v>93726.48</v>
      </c>
      <c r="AI13" s="33">
        <v>487162.38</v>
      </c>
      <c r="AJ13" s="11">
        <v>580888.86</v>
      </c>
      <c r="AK13" s="11">
        <v>118065.16</v>
      </c>
      <c r="AL13" s="11">
        <v>1654.78</v>
      </c>
      <c r="AM13" s="6"/>
      <c r="AN13" s="6"/>
      <c r="AO13" s="11">
        <v>626.16999999999996</v>
      </c>
      <c r="AP13" s="11">
        <v>0</v>
      </c>
      <c r="AQ13" s="6">
        <v>0</v>
      </c>
      <c r="AR13" s="6"/>
      <c r="AS13" s="11">
        <v>5122669.22</v>
      </c>
      <c r="AT13" s="12">
        <v>7.1099999999999997E-2</v>
      </c>
      <c r="AU13" s="12">
        <v>1.6243900000000001E-3</v>
      </c>
      <c r="AV13" s="12">
        <v>2.2770000000000001E-5</v>
      </c>
      <c r="AW13" s="12">
        <v>8.6200000000000005E-6</v>
      </c>
      <c r="AX13" s="12">
        <v>1.6557799999999999E-3</v>
      </c>
      <c r="AY13" s="3"/>
      <c r="AZ13" s="18"/>
      <c r="BA13" s="5"/>
      <c r="BB13" s="5"/>
      <c r="BC13" s="5"/>
      <c r="BD13" s="5"/>
      <c r="BE13" s="5"/>
      <c r="BF13" s="5"/>
      <c r="BG13" s="5"/>
      <c r="BH13" s="18"/>
      <c r="BI13" s="18"/>
      <c r="BJ13" s="18"/>
      <c r="BK13" s="18"/>
      <c r="BL13" s="23"/>
      <c r="BN13" s="74"/>
      <c r="BO13" s="72"/>
      <c r="BU13" s="54" t="s">
        <v>53</v>
      </c>
      <c r="BV13" s="54" t="s">
        <v>596</v>
      </c>
      <c r="BW13" s="41" t="s">
        <v>1568</v>
      </c>
      <c r="BX13" s="41">
        <f>SUMIFS(AE:AE,E:E,BU5,BM:BM,$BX$3)</f>
        <v>0</v>
      </c>
      <c r="BY13" s="41" t="s">
        <v>1569</v>
      </c>
      <c r="BZ13" s="41">
        <f>SUMIFS(AE:AE,E:E,BU5,BM:BM,$BZ$3)</f>
        <v>20871.34</v>
      </c>
    </row>
    <row r="14" spans="1:79" ht="13.05" customHeight="1" x14ac:dyDescent="0.3">
      <c r="A14" s="3" t="s">
        <v>10</v>
      </c>
      <c r="B14" s="3" t="s">
        <v>11</v>
      </c>
      <c r="C14" s="4" t="s">
        <v>12</v>
      </c>
      <c r="D14" s="25" t="s">
        <v>1631</v>
      </c>
      <c r="E14" s="29" t="s">
        <v>68</v>
      </c>
      <c r="F14" s="29" t="s">
        <v>611</v>
      </c>
      <c r="G14" s="28" t="s">
        <v>55</v>
      </c>
      <c r="H14" s="28" t="s">
        <v>482</v>
      </c>
      <c r="I14" s="25" t="s">
        <v>42</v>
      </c>
      <c r="J14" s="28"/>
      <c r="K14" s="28"/>
      <c r="L14" s="3"/>
      <c r="M14" s="3" t="s">
        <v>612</v>
      </c>
      <c r="N14" s="3"/>
      <c r="O14" s="29" t="s">
        <v>483</v>
      </c>
      <c r="P14" s="3"/>
      <c r="Q14" s="27" t="s">
        <v>217</v>
      </c>
      <c r="R14" s="31"/>
      <c r="S14" s="32">
        <v>58196.523999999998</v>
      </c>
      <c r="T14" s="6">
        <v>0</v>
      </c>
      <c r="U14" s="6"/>
      <c r="V14" s="6">
        <v>362.32</v>
      </c>
      <c r="W14" s="3" t="s">
        <v>13</v>
      </c>
      <c r="X14" s="6">
        <v>373.83859999999999</v>
      </c>
      <c r="Y14" s="3">
        <v>-3.0811689999999999E-2</v>
      </c>
      <c r="Z14" s="6">
        <v>1000.000005</v>
      </c>
      <c r="AA14" s="7"/>
      <c r="AB14" s="6">
        <v>0</v>
      </c>
      <c r="AC14" s="6">
        <v>0</v>
      </c>
      <c r="AD14" s="6">
        <v>58196524.310000002</v>
      </c>
      <c r="AE14" s="32">
        <v>50055067.57</v>
      </c>
      <c r="AF14" s="6">
        <v>21085764.579999998</v>
      </c>
      <c r="AG14" s="33">
        <v>20364848.93</v>
      </c>
      <c r="AH14" s="33">
        <v>-35841954.539999999</v>
      </c>
      <c r="AI14" s="33">
        <v>6151735.9000000004</v>
      </c>
      <c r="AJ14" s="6">
        <v>-29690218.640000001</v>
      </c>
      <c r="AK14" s="6">
        <v>-204411.79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21085764.579999998</v>
      </c>
      <c r="AS14" s="6">
        <v>20364848.93</v>
      </c>
      <c r="AT14" s="7">
        <v>0.2828</v>
      </c>
      <c r="AU14" s="7">
        <v>-2.8123900000000001E-3</v>
      </c>
      <c r="AV14" s="7">
        <v>0</v>
      </c>
      <c r="AW14" s="7">
        <v>0</v>
      </c>
      <c r="AX14" s="7">
        <v>-2.8123900000000001E-3</v>
      </c>
      <c r="AY14" s="3"/>
      <c r="AZ14" s="18" t="s">
        <v>598</v>
      </c>
      <c r="BA14" s="5"/>
      <c r="BB14" s="5"/>
      <c r="BC14" s="5"/>
      <c r="BD14" s="5"/>
      <c r="BE14" s="5" t="s">
        <v>613</v>
      </c>
      <c r="BF14" s="5" t="s">
        <v>614</v>
      </c>
      <c r="BG14" s="5" t="s">
        <v>221</v>
      </c>
      <c r="BH14" s="18" t="s">
        <v>459</v>
      </c>
      <c r="BI14" s="18" t="s">
        <v>615</v>
      </c>
      <c r="BJ14" s="18" t="s">
        <v>213</v>
      </c>
      <c r="BK14" s="18" t="s">
        <v>42</v>
      </c>
      <c r="BL14" s="23">
        <f t="shared" si="0"/>
        <v>20364848.93</v>
      </c>
      <c r="BM14" t="str">
        <f t="shared" si="1"/>
        <v>Long</v>
      </c>
      <c r="BN14" s="74">
        <f t="shared" si="2"/>
        <v>-45657</v>
      </c>
      <c r="BO14" s="72" t="str">
        <f t="shared" si="3"/>
        <v>Less than 1 Month</v>
      </c>
      <c r="BU14" s="54" t="s">
        <v>82</v>
      </c>
      <c r="BV14" s="54" t="s">
        <v>602</v>
      </c>
      <c r="BW14" s="41" t="s">
        <v>1570</v>
      </c>
      <c r="BX14" s="41">
        <f>SUMIFS(AE:AE,E:E,BU6,BM:BM,$BX$3)</f>
        <v>4495820.09</v>
      </c>
      <c r="BY14" s="41" t="s">
        <v>1571</v>
      </c>
      <c r="BZ14" s="41">
        <f>SUMIFS(AE:AE,E:E,BU6,BM:BM,$BZ$3)</f>
        <v>0</v>
      </c>
    </row>
    <row r="15" spans="1:79" ht="13.05" customHeight="1" x14ac:dyDescent="0.3">
      <c r="A15" s="10" t="s">
        <v>59</v>
      </c>
      <c r="B15" s="3"/>
      <c r="C15" s="4"/>
      <c r="D15" s="59" t="s">
        <v>1527</v>
      </c>
      <c r="E15" s="30" t="s">
        <v>68</v>
      </c>
      <c r="F15" s="29"/>
      <c r="G15" s="28"/>
      <c r="H15" s="28"/>
      <c r="I15" s="25"/>
      <c r="J15" s="28"/>
      <c r="K15" s="28"/>
      <c r="L15" s="3"/>
      <c r="M15" s="3"/>
      <c r="N15" s="3"/>
      <c r="O15" s="29"/>
      <c r="P15" s="3"/>
      <c r="Q15" s="27"/>
      <c r="R15" s="31"/>
      <c r="S15" s="32"/>
      <c r="T15" s="6"/>
      <c r="U15" s="6"/>
      <c r="V15" s="6"/>
      <c r="W15" s="3"/>
      <c r="X15" s="6"/>
      <c r="Y15" s="3"/>
      <c r="Z15" s="6"/>
      <c r="AA15" s="7"/>
      <c r="AB15" s="6"/>
      <c r="AC15" s="11">
        <v>0</v>
      </c>
      <c r="AD15" s="6"/>
      <c r="AE15" s="32"/>
      <c r="AF15" s="6"/>
      <c r="AG15" s="34">
        <v>20364848.93</v>
      </c>
      <c r="AH15" s="33">
        <v>-35841954.539999999</v>
      </c>
      <c r="AI15" s="33">
        <v>6151735.9000000004</v>
      </c>
      <c r="AJ15" s="11">
        <v>-29690218.640000001</v>
      </c>
      <c r="AK15" s="11">
        <v>-204411.79</v>
      </c>
      <c r="AL15" s="11">
        <v>0</v>
      </c>
      <c r="AM15" s="6"/>
      <c r="AN15" s="6"/>
      <c r="AO15" s="11">
        <v>0</v>
      </c>
      <c r="AP15" s="11">
        <v>0</v>
      </c>
      <c r="AQ15" s="6">
        <v>0</v>
      </c>
      <c r="AR15" s="6"/>
      <c r="AS15" s="11">
        <v>20364848.93</v>
      </c>
      <c r="AT15" s="12">
        <v>0.2828</v>
      </c>
      <c r="AU15" s="12">
        <v>-2.8123900000000001E-3</v>
      </c>
      <c r="AV15" s="12">
        <v>0</v>
      </c>
      <c r="AW15" s="12">
        <v>0</v>
      </c>
      <c r="AX15" s="12">
        <v>-2.8123900000000001E-3</v>
      </c>
      <c r="AY15" s="3"/>
      <c r="AZ15" s="18"/>
      <c r="BA15" s="5"/>
      <c r="BB15" s="5"/>
      <c r="BC15" s="5"/>
      <c r="BD15" s="5"/>
      <c r="BE15" s="5"/>
      <c r="BF15" s="5"/>
      <c r="BG15" s="5"/>
      <c r="BH15" s="18"/>
      <c r="BI15" s="18"/>
      <c r="BJ15" s="18"/>
      <c r="BK15" s="18"/>
      <c r="BL15" s="23"/>
      <c r="BN15" s="74"/>
      <c r="BO15" s="72"/>
      <c r="BU15" s="54" t="s">
        <v>68</v>
      </c>
      <c r="BV15" s="54" t="s">
        <v>611</v>
      </c>
      <c r="BW15" s="41" t="s">
        <v>1572</v>
      </c>
      <c r="BX15" s="41">
        <f>SUMIFS(AE:AE,E:E,BU7,BM:BM,$BX$3)</f>
        <v>50055067.57</v>
      </c>
      <c r="BY15" s="41" t="s">
        <v>1573</v>
      </c>
      <c r="BZ15" s="41">
        <f>SUMIFS(AE:AE,E:E,BU7,BM:BM,$BZ$3)</f>
        <v>0</v>
      </c>
    </row>
    <row r="16" spans="1:79" ht="13.05" customHeight="1" x14ac:dyDescent="0.3">
      <c r="A16" s="3" t="s">
        <v>10</v>
      </c>
      <c r="B16" s="3" t="s">
        <v>11</v>
      </c>
      <c r="C16" s="4" t="s">
        <v>12</v>
      </c>
      <c r="D16" s="25" t="s">
        <v>1534</v>
      </c>
      <c r="E16" s="29" t="s">
        <v>616</v>
      </c>
      <c r="F16" s="29"/>
      <c r="G16" s="28" t="s">
        <v>461</v>
      </c>
      <c r="H16" s="28"/>
      <c r="I16" s="25"/>
      <c r="J16" s="28"/>
      <c r="K16" s="28" t="s">
        <v>460</v>
      </c>
      <c r="L16" s="3"/>
      <c r="M16" s="3" t="s">
        <v>617</v>
      </c>
      <c r="N16" s="3"/>
      <c r="O16" s="29" t="s">
        <v>462</v>
      </c>
      <c r="P16" s="3"/>
      <c r="Q16" s="27" t="s">
        <v>12</v>
      </c>
      <c r="R16" s="31" t="s">
        <v>618</v>
      </c>
      <c r="S16" s="32">
        <v>-1061409.8799999999</v>
      </c>
      <c r="T16" s="6">
        <v>0</v>
      </c>
      <c r="U16" s="6"/>
      <c r="V16" s="6">
        <v>1.038848</v>
      </c>
      <c r="W16" s="3"/>
      <c r="X16" s="6">
        <v>1.063102</v>
      </c>
      <c r="Y16" s="3">
        <v>-2.281437E-2</v>
      </c>
      <c r="Z16" s="6">
        <v>0.91500899999999996</v>
      </c>
      <c r="AA16" s="7"/>
      <c r="AB16" s="6">
        <v>0</v>
      </c>
      <c r="AC16" s="6">
        <v>0</v>
      </c>
      <c r="AD16" s="6">
        <v>-1061409.8799999999</v>
      </c>
      <c r="AE16" s="32">
        <v>-1061409.8799999999</v>
      </c>
      <c r="AF16" s="6">
        <v>0</v>
      </c>
      <c r="AG16" s="33"/>
      <c r="AH16" s="33"/>
      <c r="AI16" s="33">
        <v>0</v>
      </c>
      <c r="AJ16" s="6"/>
      <c r="AK16" s="6"/>
      <c r="AL16" s="6"/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7">
        <v>0</v>
      </c>
      <c r="AU16" s="7"/>
      <c r="AV16" s="7"/>
      <c r="AW16" s="7">
        <v>0</v>
      </c>
      <c r="AX16" s="7"/>
      <c r="AY16" s="3"/>
      <c r="AZ16" s="18"/>
      <c r="BA16" s="5"/>
      <c r="BB16" s="5" t="s">
        <v>619</v>
      </c>
      <c r="BC16" s="5"/>
      <c r="BD16" s="5" t="s">
        <v>620</v>
      </c>
      <c r="BE16" s="5"/>
      <c r="BF16" s="5" t="s">
        <v>461</v>
      </c>
      <c r="BG16" s="5" t="s">
        <v>221</v>
      </c>
      <c r="BH16" s="18" t="s">
        <v>463</v>
      </c>
      <c r="BI16" s="18" t="s">
        <v>463</v>
      </c>
      <c r="BJ16" s="18" t="s">
        <v>213</v>
      </c>
      <c r="BK16" s="18"/>
      <c r="BL16" s="23">
        <f>+AH16+AI16</f>
        <v>0</v>
      </c>
      <c r="BM16" s="18" t="s">
        <v>1510</v>
      </c>
      <c r="BN16" s="74">
        <f t="shared" si="2"/>
        <v>78</v>
      </c>
      <c r="BO16" s="72" t="str">
        <f t="shared" si="3"/>
        <v>1 - 3 Months</v>
      </c>
      <c r="BP16" s="18"/>
      <c r="BQ16" s="18"/>
      <c r="BR16" s="18"/>
      <c r="BS16" s="18"/>
      <c r="BU16" s="54" t="s">
        <v>616</v>
      </c>
      <c r="BV16" s="54"/>
      <c r="BW16" s="41" t="s">
        <v>1546</v>
      </c>
      <c r="BX16" s="41">
        <v>0</v>
      </c>
      <c r="BY16" s="41" t="s">
        <v>1547</v>
      </c>
      <c r="BZ16" s="41">
        <v>0</v>
      </c>
    </row>
    <row r="17" spans="1:78" ht="13.05" customHeight="1" x14ac:dyDescent="0.3">
      <c r="A17" s="3" t="s">
        <v>10</v>
      </c>
      <c r="B17" s="3" t="s">
        <v>11</v>
      </c>
      <c r="C17" s="4" t="s">
        <v>12</v>
      </c>
      <c r="D17" s="25" t="s">
        <v>1534</v>
      </c>
      <c r="E17" s="29" t="s">
        <v>616</v>
      </c>
      <c r="F17" s="29"/>
      <c r="G17" s="28" t="s">
        <v>461</v>
      </c>
      <c r="H17" s="28"/>
      <c r="I17" s="25"/>
      <c r="J17" s="28"/>
      <c r="K17" s="28" t="s">
        <v>460</v>
      </c>
      <c r="L17" s="3"/>
      <c r="M17" s="3" t="s">
        <v>617</v>
      </c>
      <c r="N17" s="3"/>
      <c r="O17" s="29" t="s">
        <v>462</v>
      </c>
      <c r="P17" s="3"/>
      <c r="Q17" s="27" t="s">
        <v>217</v>
      </c>
      <c r="R17" s="31" t="s">
        <v>618</v>
      </c>
      <c r="S17" s="32">
        <v>1160000</v>
      </c>
      <c r="T17" s="6">
        <v>0</v>
      </c>
      <c r="U17" s="6"/>
      <c r="V17" s="6">
        <v>1.038848</v>
      </c>
      <c r="W17" s="3"/>
      <c r="X17" s="6">
        <v>1.063102</v>
      </c>
      <c r="Y17" s="3">
        <v>-2.281437E-2</v>
      </c>
      <c r="Z17" s="6">
        <v>0.91500899999999996</v>
      </c>
      <c r="AA17" s="7"/>
      <c r="AB17" s="6">
        <v>0</v>
      </c>
      <c r="AC17" s="6">
        <v>0</v>
      </c>
      <c r="AD17" s="6">
        <v>1160000</v>
      </c>
      <c r="AE17" s="32">
        <v>1061409.8799999999</v>
      </c>
      <c r="AF17" s="6">
        <v>55211.61</v>
      </c>
      <c r="AG17" s="33">
        <v>55211.61</v>
      </c>
      <c r="AH17" s="33">
        <v>55211.61</v>
      </c>
      <c r="AI17" s="33">
        <v>0</v>
      </c>
      <c r="AJ17" s="6">
        <v>55211.61</v>
      </c>
      <c r="AK17" s="6">
        <v>25475.01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55211.61</v>
      </c>
      <c r="AS17" s="6">
        <v>55211.61</v>
      </c>
      <c r="AT17" s="7">
        <v>8.0000000000000004E-4</v>
      </c>
      <c r="AU17" s="7">
        <v>3.5050000000000001E-4</v>
      </c>
      <c r="AV17" s="7">
        <v>0</v>
      </c>
      <c r="AW17" s="7">
        <v>0</v>
      </c>
      <c r="AX17" s="7">
        <v>3.5050000000000001E-4</v>
      </c>
      <c r="AY17" s="3"/>
      <c r="AZ17" s="18"/>
      <c r="BA17" s="5"/>
      <c r="BB17" s="5" t="s">
        <v>40</v>
      </c>
      <c r="BC17" s="5"/>
      <c r="BD17" s="5" t="s">
        <v>620</v>
      </c>
      <c r="BE17" s="5"/>
      <c r="BF17" s="5" t="s">
        <v>461</v>
      </c>
      <c r="BG17" s="5" t="s">
        <v>221</v>
      </c>
      <c r="BH17" s="18" t="s">
        <v>463</v>
      </c>
      <c r="BI17" s="18" t="s">
        <v>463</v>
      </c>
      <c r="BJ17" s="18" t="s">
        <v>213</v>
      </c>
      <c r="BK17" s="18"/>
      <c r="BL17" s="23">
        <f t="shared" ref="BL17:BL41" si="5">+AH17+AI17</f>
        <v>55211.61</v>
      </c>
      <c r="BM17" s="18" t="s">
        <v>1510</v>
      </c>
      <c r="BN17" s="74">
        <f t="shared" si="2"/>
        <v>78</v>
      </c>
      <c r="BO17" s="72" t="str">
        <f t="shared" si="3"/>
        <v>1 - 3 Months</v>
      </c>
      <c r="BP17" s="18"/>
      <c r="BQ17" s="18"/>
      <c r="BR17" s="18"/>
      <c r="BS17" s="18"/>
      <c r="BU17" s="55" t="s">
        <v>1541</v>
      </c>
      <c r="BV17" s="55"/>
      <c r="BW17" s="42"/>
      <c r="BX17" s="42">
        <f>SUM(BX12:BX16)</f>
        <v>96170501.659999996</v>
      </c>
      <c r="BY17" s="42"/>
      <c r="BZ17" s="42">
        <f>SUM(BZ12:BZ16)</f>
        <v>20871.34</v>
      </c>
    </row>
    <row r="18" spans="1:78" ht="13.05" customHeight="1" x14ac:dyDescent="0.3">
      <c r="A18" s="3" t="s">
        <v>10</v>
      </c>
      <c r="B18" s="3" t="s">
        <v>11</v>
      </c>
      <c r="C18" s="4" t="s">
        <v>12</v>
      </c>
      <c r="D18" s="25" t="s">
        <v>1534</v>
      </c>
      <c r="E18" s="29" t="s">
        <v>616</v>
      </c>
      <c r="F18" s="29"/>
      <c r="G18" s="28" t="s">
        <v>500</v>
      </c>
      <c r="H18" s="28"/>
      <c r="I18" s="25"/>
      <c r="J18" s="28"/>
      <c r="K18" s="28" t="s">
        <v>499</v>
      </c>
      <c r="L18" s="3"/>
      <c r="M18" s="3" t="s">
        <v>621</v>
      </c>
      <c r="N18" s="3"/>
      <c r="O18" s="29" t="s">
        <v>501</v>
      </c>
      <c r="P18" s="3"/>
      <c r="Q18" s="27" t="s">
        <v>217</v>
      </c>
      <c r="R18" s="31" t="s">
        <v>618</v>
      </c>
      <c r="S18" s="32">
        <v>-3590000</v>
      </c>
      <c r="T18" s="6">
        <v>0</v>
      </c>
      <c r="U18" s="6"/>
      <c r="V18" s="6">
        <v>1.038848</v>
      </c>
      <c r="W18" s="3"/>
      <c r="X18" s="6">
        <v>1.063102</v>
      </c>
      <c r="Y18" s="3">
        <v>-2.281437E-2</v>
      </c>
      <c r="Z18" s="6">
        <v>1.093032</v>
      </c>
      <c r="AA18" s="7"/>
      <c r="AB18" s="6">
        <v>0</v>
      </c>
      <c r="AC18" s="6">
        <v>0</v>
      </c>
      <c r="AD18" s="6">
        <v>-3590000</v>
      </c>
      <c r="AE18" s="32">
        <v>-3284441.81</v>
      </c>
      <c r="AF18" s="6">
        <v>0</v>
      </c>
      <c r="AG18" s="33"/>
      <c r="AH18" s="33"/>
      <c r="AI18" s="33">
        <v>0</v>
      </c>
      <c r="AJ18" s="6"/>
      <c r="AK18" s="6"/>
      <c r="AL18" s="6"/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7">
        <v>0</v>
      </c>
      <c r="AU18" s="7"/>
      <c r="AV18" s="7"/>
      <c r="AW18" s="7">
        <v>0</v>
      </c>
      <c r="AX18" s="7"/>
      <c r="AY18" s="3"/>
      <c r="AZ18" s="18"/>
      <c r="BA18" s="5"/>
      <c r="BB18" s="5" t="s">
        <v>619</v>
      </c>
      <c r="BC18" s="5"/>
      <c r="BD18" s="5" t="s">
        <v>620</v>
      </c>
      <c r="BE18" s="5"/>
      <c r="BF18" s="5" t="s">
        <v>500</v>
      </c>
      <c r="BG18" s="5" t="s">
        <v>221</v>
      </c>
      <c r="BH18" s="18" t="s">
        <v>463</v>
      </c>
      <c r="BI18" s="18" t="s">
        <v>463</v>
      </c>
      <c r="BJ18" s="18" t="s">
        <v>213</v>
      </c>
      <c r="BK18" s="18"/>
      <c r="BL18" s="23">
        <f t="shared" si="5"/>
        <v>0</v>
      </c>
      <c r="BM18" s="18" t="s">
        <v>1510</v>
      </c>
      <c r="BN18" s="74">
        <f t="shared" si="2"/>
        <v>78</v>
      </c>
      <c r="BO18" s="72" t="str">
        <f t="shared" si="3"/>
        <v>1 - 3 Months</v>
      </c>
      <c r="BP18" s="18"/>
      <c r="BQ18" s="18"/>
      <c r="BR18" s="18"/>
      <c r="BS18" s="18"/>
      <c r="BU18" s="56"/>
      <c r="BV18" s="56"/>
      <c r="BW18" s="38"/>
      <c r="BX18" s="38"/>
      <c r="BY18" s="38"/>
      <c r="BZ18" s="38"/>
    </row>
    <row r="19" spans="1:78" ht="13.05" customHeight="1" x14ac:dyDescent="0.3">
      <c r="A19" s="3" t="s">
        <v>10</v>
      </c>
      <c r="B19" s="3" t="s">
        <v>11</v>
      </c>
      <c r="C19" s="4" t="s">
        <v>12</v>
      </c>
      <c r="D19" s="25" t="s">
        <v>1534</v>
      </c>
      <c r="E19" s="29" t="s">
        <v>616</v>
      </c>
      <c r="F19" s="29"/>
      <c r="G19" s="28" t="s">
        <v>500</v>
      </c>
      <c r="H19" s="28"/>
      <c r="I19" s="25"/>
      <c r="J19" s="28"/>
      <c r="K19" s="28" t="s">
        <v>499</v>
      </c>
      <c r="L19" s="3"/>
      <c r="M19" s="3" t="s">
        <v>621</v>
      </c>
      <c r="N19" s="3"/>
      <c r="O19" s="29" t="s">
        <v>501</v>
      </c>
      <c r="P19" s="3"/>
      <c r="Q19" s="27" t="s">
        <v>12</v>
      </c>
      <c r="R19" s="31" t="s">
        <v>618</v>
      </c>
      <c r="S19" s="32">
        <v>3284441.81</v>
      </c>
      <c r="T19" s="6">
        <v>0</v>
      </c>
      <c r="U19" s="6"/>
      <c r="V19" s="6">
        <v>1.038848</v>
      </c>
      <c r="W19" s="3"/>
      <c r="X19" s="6">
        <v>1.063102</v>
      </c>
      <c r="Y19" s="3">
        <v>-2.281437E-2</v>
      </c>
      <c r="Z19" s="6">
        <v>1.093032</v>
      </c>
      <c r="AA19" s="7"/>
      <c r="AB19" s="6">
        <v>0</v>
      </c>
      <c r="AC19" s="6">
        <v>0</v>
      </c>
      <c r="AD19" s="6">
        <v>3284441.81</v>
      </c>
      <c r="AE19" s="32">
        <v>3284441.81</v>
      </c>
      <c r="AF19" s="6">
        <v>-177964.19</v>
      </c>
      <c r="AG19" s="33">
        <v>-171879.65</v>
      </c>
      <c r="AH19" s="33">
        <v>-171879.65</v>
      </c>
      <c r="AI19" s="33">
        <v>0</v>
      </c>
      <c r="AJ19" s="6">
        <v>-171879.65</v>
      </c>
      <c r="AK19" s="6">
        <v>-78938.990000000005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-177964.19</v>
      </c>
      <c r="AS19" s="6">
        <v>-171879.65</v>
      </c>
      <c r="AT19" s="7">
        <v>-2.3999999999999998E-3</v>
      </c>
      <c r="AU19" s="7">
        <v>-1.0860799999999999E-3</v>
      </c>
      <c r="AV19" s="7">
        <v>0</v>
      </c>
      <c r="AW19" s="7">
        <v>0</v>
      </c>
      <c r="AX19" s="7">
        <v>-1.0860799999999999E-3</v>
      </c>
      <c r="AY19" s="3"/>
      <c r="AZ19" s="18"/>
      <c r="BA19" s="5"/>
      <c r="BB19" s="5" t="s">
        <v>40</v>
      </c>
      <c r="BC19" s="5"/>
      <c r="BD19" s="5" t="s">
        <v>620</v>
      </c>
      <c r="BE19" s="5"/>
      <c r="BF19" s="5" t="s">
        <v>500</v>
      </c>
      <c r="BG19" s="5" t="s">
        <v>221</v>
      </c>
      <c r="BH19" s="18" t="s">
        <v>463</v>
      </c>
      <c r="BI19" s="18" t="s">
        <v>463</v>
      </c>
      <c r="BJ19" s="18" t="s">
        <v>213</v>
      </c>
      <c r="BK19" s="18"/>
      <c r="BL19" s="23">
        <f t="shared" si="5"/>
        <v>-171879.65</v>
      </c>
      <c r="BM19" s="18" t="s">
        <v>1509</v>
      </c>
      <c r="BN19" s="74">
        <f t="shared" si="2"/>
        <v>78</v>
      </c>
      <c r="BO19" s="72" t="str">
        <f t="shared" si="3"/>
        <v>1 - 3 Months</v>
      </c>
      <c r="BP19" s="18"/>
      <c r="BQ19" s="18"/>
      <c r="BR19" s="18"/>
      <c r="BS19" s="18"/>
      <c r="BU19" s="56"/>
      <c r="BV19" s="57"/>
      <c r="BW19" s="69" t="s">
        <v>1507</v>
      </c>
      <c r="BX19" s="70"/>
      <c r="BY19" s="70"/>
      <c r="BZ19" s="71"/>
    </row>
    <row r="20" spans="1:78" ht="13.05" customHeight="1" x14ac:dyDescent="0.3">
      <c r="A20" s="3" t="s">
        <v>10</v>
      </c>
      <c r="B20" s="3" t="s">
        <v>11</v>
      </c>
      <c r="C20" s="4" t="s">
        <v>12</v>
      </c>
      <c r="D20" s="25" t="s">
        <v>1534</v>
      </c>
      <c r="E20" s="29" t="s">
        <v>616</v>
      </c>
      <c r="F20" s="29"/>
      <c r="G20" s="28" t="s">
        <v>503</v>
      </c>
      <c r="H20" s="28"/>
      <c r="I20" s="25"/>
      <c r="J20" s="28"/>
      <c r="K20" s="28" t="s">
        <v>502</v>
      </c>
      <c r="L20" s="3"/>
      <c r="M20" s="3" t="s">
        <v>622</v>
      </c>
      <c r="N20" s="3"/>
      <c r="O20" s="29" t="s">
        <v>504</v>
      </c>
      <c r="P20" s="3"/>
      <c r="Q20" s="27" t="s">
        <v>217</v>
      </c>
      <c r="R20" s="31" t="s">
        <v>618</v>
      </c>
      <c r="S20" s="32">
        <v>-3590000</v>
      </c>
      <c r="T20" s="6">
        <v>0</v>
      </c>
      <c r="U20" s="6"/>
      <c r="V20" s="6">
        <v>1.038848</v>
      </c>
      <c r="W20" s="3"/>
      <c r="X20" s="6">
        <v>1.063102</v>
      </c>
      <c r="Y20" s="3">
        <v>-2.281437E-2</v>
      </c>
      <c r="Z20" s="6">
        <v>1.0976900000000001</v>
      </c>
      <c r="AA20" s="7"/>
      <c r="AB20" s="6">
        <v>0</v>
      </c>
      <c r="AC20" s="6">
        <v>0</v>
      </c>
      <c r="AD20" s="6">
        <v>-3590000</v>
      </c>
      <c r="AE20" s="32">
        <v>-3270504.42</v>
      </c>
      <c r="AF20" s="6">
        <v>0</v>
      </c>
      <c r="AG20" s="33"/>
      <c r="AH20" s="33"/>
      <c r="AI20" s="33">
        <v>0</v>
      </c>
      <c r="AJ20" s="6"/>
      <c r="AK20" s="6"/>
      <c r="AL20" s="6"/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7">
        <v>0</v>
      </c>
      <c r="AU20" s="7"/>
      <c r="AV20" s="7"/>
      <c r="AW20" s="7">
        <v>0</v>
      </c>
      <c r="AX20" s="7"/>
      <c r="AY20" s="3"/>
      <c r="AZ20" s="18"/>
      <c r="BA20" s="5"/>
      <c r="BB20" s="5" t="s">
        <v>619</v>
      </c>
      <c r="BC20" s="5"/>
      <c r="BD20" s="5" t="s">
        <v>620</v>
      </c>
      <c r="BE20" s="5"/>
      <c r="BF20" s="5" t="s">
        <v>503</v>
      </c>
      <c r="BG20" s="5" t="s">
        <v>221</v>
      </c>
      <c r="BH20" s="18" t="s">
        <v>463</v>
      </c>
      <c r="BI20" s="18" t="s">
        <v>463</v>
      </c>
      <c r="BJ20" s="18" t="s">
        <v>213</v>
      </c>
      <c r="BK20" s="18"/>
      <c r="BL20" s="23">
        <f t="shared" si="5"/>
        <v>0</v>
      </c>
      <c r="BM20" s="18" t="s">
        <v>1509</v>
      </c>
      <c r="BN20" s="74">
        <f t="shared" si="2"/>
        <v>78</v>
      </c>
      <c r="BO20" s="72" t="str">
        <f t="shared" si="3"/>
        <v>1 - 3 Months</v>
      </c>
      <c r="BP20" s="18"/>
      <c r="BQ20" s="18"/>
      <c r="BR20" s="18"/>
      <c r="BS20" s="18"/>
      <c r="BU20" s="54" t="s">
        <v>60</v>
      </c>
      <c r="BV20" s="54" t="s">
        <v>570</v>
      </c>
      <c r="BW20" s="41" t="s">
        <v>1574</v>
      </c>
      <c r="BX20" s="41">
        <f>SUMIFS(BL:BL,E:E,BU4,BM:BM,$BX$3)</f>
        <v>42960892.590000004</v>
      </c>
      <c r="BY20" s="41" t="s">
        <v>1575</v>
      </c>
      <c r="BZ20" s="41">
        <f>SUMIFS(BL:BL,E:E,BU4,BM:BM,$BZ$3)</f>
        <v>0</v>
      </c>
    </row>
    <row r="21" spans="1:78" ht="13.05" customHeight="1" x14ac:dyDescent="0.3">
      <c r="A21" s="3" t="s">
        <v>10</v>
      </c>
      <c r="B21" s="3" t="s">
        <v>11</v>
      </c>
      <c r="C21" s="4" t="s">
        <v>12</v>
      </c>
      <c r="D21" s="25" t="s">
        <v>1534</v>
      </c>
      <c r="E21" s="29" t="s">
        <v>616</v>
      </c>
      <c r="F21" s="29"/>
      <c r="G21" s="28" t="s">
        <v>503</v>
      </c>
      <c r="H21" s="28"/>
      <c r="I21" s="25"/>
      <c r="J21" s="28"/>
      <c r="K21" s="28" t="s">
        <v>502</v>
      </c>
      <c r="L21" s="3"/>
      <c r="M21" s="3" t="s">
        <v>622</v>
      </c>
      <c r="N21" s="3"/>
      <c r="O21" s="29" t="s">
        <v>504</v>
      </c>
      <c r="P21" s="3"/>
      <c r="Q21" s="27" t="s">
        <v>12</v>
      </c>
      <c r="R21" s="31" t="s">
        <v>618</v>
      </c>
      <c r="S21" s="32">
        <v>3270504.42</v>
      </c>
      <c r="T21" s="6">
        <v>0</v>
      </c>
      <c r="U21" s="6"/>
      <c r="V21" s="6">
        <v>1.038848</v>
      </c>
      <c r="W21" s="3"/>
      <c r="X21" s="6">
        <v>1.063102</v>
      </c>
      <c r="Y21" s="3">
        <v>-2.281437E-2</v>
      </c>
      <c r="Z21" s="6">
        <v>1.0976900000000001</v>
      </c>
      <c r="AA21" s="7"/>
      <c r="AB21" s="6">
        <v>0</v>
      </c>
      <c r="AC21" s="6">
        <v>0</v>
      </c>
      <c r="AD21" s="6">
        <v>3270504.42</v>
      </c>
      <c r="AE21" s="32">
        <v>3270504.42</v>
      </c>
      <c r="AF21" s="6">
        <v>-192443.02</v>
      </c>
      <c r="AG21" s="33">
        <v>-185863.45</v>
      </c>
      <c r="AH21" s="33">
        <v>-185863.45</v>
      </c>
      <c r="AI21" s="33">
        <v>0</v>
      </c>
      <c r="AJ21" s="6">
        <v>-185863.45</v>
      </c>
      <c r="AK21" s="6">
        <v>-78914.210000000006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-192443.02</v>
      </c>
      <c r="AS21" s="6">
        <v>-185863.45</v>
      </c>
      <c r="AT21" s="7">
        <v>-2.5999999999999999E-3</v>
      </c>
      <c r="AU21" s="7">
        <v>-1.08574E-3</v>
      </c>
      <c r="AV21" s="7">
        <v>0</v>
      </c>
      <c r="AW21" s="7">
        <v>0</v>
      </c>
      <c r="AX21" s="7">
        <v>-1.08574E-3</v>
      </c>
      <c r="AY21" s="3"/>
      <c r="AZ21" s="18"/>
      <c r="BA21" s="5"/>
      <c r="BB21" s="5" t="s">
        <v>40</v>
      </c>
      <c r="BC21" s="5"/>
      <c r="BD21" s="5" t="s">
        <v>620</v>
      </c>
      <c r="BE21" s="5"/>
      <c r="BF21" s="5" t="s">
        <v>503</v>
      </c>
      <c r="BG21" s="5" t="s">
        <v>221</v>
      </c>
      <c r="BH21" s="18" t="s">
        <v>463</v>
      </c>
      <c r="BI21" s="18" t="s">
        <v>463</v>
      </c>
      <c r="BJ21" s="18" t="s">
        <v>213</v>
      </c>
      <c r="BK21" s="18"/>
      <c r="BL21" s="23">
        <f t="shared" si="5"/>
        <v>-185863.45</v>
      </c>
      <c r="BM21" s="18" t="s">
        <v>1509</v>
      </c>
      <c r="BN21" s="74">
        <f t="shared" si="2"/>
        <v>78</v>
      </c>
      <c r="BO21" s="72" t="str">
        <f t="shared" si="3"/>
        <v>1 - 3 Months</v>
      </c>
      <c r="BP21" s="18"/>
      <c r="BQ21" s="18"/>
      <c r="BR21" s="18"/>
      <c r="BS21" s="18"/>
      <c r="BU21" s="54" t="s">
        <v>53</v>
      </c>
      <c r="BV21" s="54" t="s">
        <v>596</v>
      </c>
      <c r="BW21" s="41" t="s">
        <v>1576</v>
      </c>
      <c r="BX21" s="41">
        <f>SUMIFS(BL:BL,E:E,BU5,BM:BM,$BX$3)</f>
        <v>0</v>
      </c>
      <c r="BY21" s="41" t="s">
        <v>1577</v>
      </c>
      <c r="BZ21" s="41">
        <f>SUMIFS(BL:BL,E:E,BU5,BM:BM,$BZ$3)</f>
        <v>0</v>
      </c>
    </row>
    <row r="22" spans="1:78" ht="13.05" customHeight="1" x14ac:dyDescent="0.3">
      <c r="A22" s="3" t="s">
        <v>10</v>
      </c>
      <c r="B22" s="3" t="s">
        <v>11</v>
      </c>
      <c r="C22" s="4" t="s">
        <v>12</v>
      </c>
      <c r="D22" s="25" t="s">
        <v>1534</v>
      </c>
      <c r="E22" s="29" t="s">
        <v>616</v>
      </c>
      <c r="F22" s="29"/>
      <c r="G22" s="28" t="s">
        <v>473</v>
      </c>
      <c r="H22" s="28"/>
      <c r="I22" s="25"/>
      <c r="J22" s="28"/>
      <c r="K22" s="28" t="s">
        <v>472</v>
      </c>
      <c r="L22" s="3"/>
      <c r="M22" s="3" t="s">
        <v>623</v>
      </c>
      <c r="N22" s="3"/>
      <c r="O22" s="29" t="s">
        <v>474</v>
      </c>
      <c r="P22" s="3"/>
      <c r="Q22" s="27" t="s">
        <v>12</v>
      </c>
      <c r="R22" s="31" t="s">
        <v>618</v>
      </c>
      <c r="S22" s="32">
        <v>-45610.02</v>
      </c>
      <c r="T22" s="6">
        <v>0</v>
      </c>
      <c r="U22" s="6"/>
      <c r="V22" s="6">
        <v>1.038848</v>
      </c>
      <c r="W22" s="3"/>
      <c r="X22" s="6">
        <v>1.063102</v>
      </c>
      <c r="Y22" s="3">
        <v>-2.281437E-2</v>
      </c>
      <c r="Z22" s="6">
        <v>0.91220000000000001</v>
      </c>
      <c r="AA22" s="7"/>
      <c r="AB22" s="6">
        <v>0</v>
      </c>
      <c r="AC22" s="6">
        <v>0</v>
      </c>
      <c r="AD22" s="6">
        <v>-45610.02</v>
      </c>
      <c r="AE22" s="32">
        <v>-45610.02</v>
      </c>
      <c r="AF22" s="6">
        <v>0</v>
      </c>
      <c r="AG22" s="33"/>
      <c r="AH22" s="33"/>
      <c r="AI22" s="33">
        <v>0</v>
      </c>
      <c r="AJ22" s="6"/>
      <c r="AK22" s="6"/>
      <c r="AL22" s="6"/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7">
        <v>0</v>
      </c>
      <c r="AU22" s="7"/>
      <c r="AV22" s="7"/>
      <c r="AW22" s="7">
        <v>0</v>
      </c>
      <c r="AX22" s="7"/>
      <c r="AY22" s="3"/>
      <c r="AZ22" s="18"/>
      <c r="BA22" s="5"/>
      <c r="BB22" s="5" t="s">
        <v>619</v>
      </c>
      <c r="BC22" s="5"/>
      <c r="BD22" s="5" t="s">
        <v>620</v>
      </c>
      <c r="BE22" s="5"/>
      <c r="BF22" s="5" t="s">
        <v>473</v>
      </c>
      <c r="BG22" s="5" t="s">
        <v>221</v>
      </c>
      <c r="BH22" s="18" t="s">
        <v>463</v>
      </c>
      <c r="BI22" s="18" t="s">
        <v>463</v>
      </c>
      <c r="BJ22" s="18" t="s">
        <v>213</v>
      </c>
      <c r="BK22" s="18"/>
      <c r="BL22" s="23">
        <f t="shared" si="5"/>
        <v>0</v>
      </c>
      <c r="BM22" s="18" t="s">
        <v>1510</v>
      </c>
      <c r="BN22" s="74">
        <f t="shared" si="2"/>
        <v>78</v>
      </c>
      <c r="BO22" s="72" t="str">
        <f t="shared" si="3"/>
        <v>1 - 3 Months</v>
      </c>
      <c r="BP22" s="18"/>
      <c r="BQ22" s="18"/>
      <c r="BR22" s="18"/>
      <c r="BS22" s="18"/>
      <c r="BU22" s="54" t="s">
        <v>82</v>
      </c>
      <c r="BV22" s="54" t="s">
        <v>602</v>
      </c>
      <c r="BW22" s="41" t="s">
        <v>1578</v>
      </c>
      <c r="BX22" s="41">
        <f>SUMIFS(BL:BL,E:E,BU6,BM:BM,$BX$3)</f>
        <v>5076708.95</v>
      </c>
      <c r="BY22" s="41" t="s">
        <v>1579</v>
      </c>
      <c r="BZ22" s="41">
        <f>SUMIFS(BL:BL,E:E,BU6,BM:BM,$BZ$3)</f>
        <v>0</v>
      </c>
    </row>
    <row r="23" spans="1:78" ht="13.05" customHeight="1" x14ac:dyDescent="0.3">
      <c r="A23" s="3" t="s">
        <v>10</v>
      </c>
      <c r="B23" s="3" t="s">
        <v>11</v>
      </c>
      <c r="C23" s="4" t="s">
        <v>12</v>
      </c>
      <c r="D23" s="25" t="s">
        <v>1534</v>
      </c>
      <c r="E23" s="29" t="s">
        <v>616</v>
      </c>
      <c r="F23" s="29"/>
      <c r="G23" s="28" t="s">
        <v>473</v>
      </c>
      <c r="H23" s="28"/>
      <c r="I23" s="25"/>
      <c r="J23" s="28"/>
      <c r="K23" s="28" t="s">
        <v>472</v>
      </c>
      <c r="L23" s="3"/>
      <c r="M23" s="3" t="s">
        <v>623</v>
      </c>
      <c r="N23" s="3"/>
      <c r="O23" s="29" t="s">
        <v>474</v>
      </c>
      <c r="P23" s="3"/>
      <c r="Q23" s="27" t="s">
        <v>217</v>
      </c>
      <c r="R23" s="31" t="s">
        <v>618</v>
      </c>
      <c r="S23" s="32">
        <v>50000</v>
      </c>
      <c r="T23" s="6">
        <v>0</v>
      </c>
      <c r="U23" s="6"/>
      <c r="V23" s="6">
        <v>1.038848</v>
      </c>
      <c r="W23" s="3"/>
      <c r="X23" s="6">
        <v>1.063102</v>
      </c>
      <c r="Y23" s="3">
        <v>-2.281437E-2</v>
      </c>
      <c r="Z23" s="6">
        <v>0.91220000000000001</v>
      </c>
      <c r="AA23" s="7"/>
      <c r="AB23" s="6">
        <v>0</v>
      </c>
      <c r="AC23" s="6">
        <v>0</v>
      </c>
      <c r="AD23" s="6">
        <v>50000</v>
      </c>
      <c r="AE23" s="32">
        <v>45610.02</v>
      </c>
      <c r="AF23" s="6">
        <v>2520.2199999999998</v>
      </c>
      <c r="AG23" s="33">
        <v>2520.2199999999998</v>
      </c>
      <c r="AH23" s="33">
        <v>2520.2199999999998</v>
      </c>
      <c r="AI23" s="33">
        <v>0</v>
      </c>
      <c r="AJ23" s="6">
        <v>2520.2199999999998</v>
      </c>
      <c r="AK23" s="6">
        <v>1098.06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2520.2199999999998</v>
      </c>
      <c r="AS23" s="6">
        <v>2520.2199999999998</v>
      </c>
      <c r="AT23" s="7">
        <v>0</v>
      </c>
      <c r="AU23" s="7">
        <v>1.5109999999999999E-5</v>
      </c>
      <c r="AV23" s="7">
        <v>0</v>
      </c>
      <c r="AW23" s="7">
        <v>0</v>
      </c>
      <c r="AX23" s="7">
        <v>1.5109999999999999E-5</v>
      </c>
      <c r="AY23" s="3"/>
      <c r="AZ23" s="18"/>
      <c r="BA23" s="5"/>
      <c r="BB23" s="5" t="s">
        <v>40</v>
      </c>
      <c r="BC23" s="5"/>
      <c r="BD23" s="5" t="s">
        <v>620</v>
      </c>
      <c r="BE23" s="5"/>
      <c r="BF23" s="5" t="s">
        <v>473</v>
      </c>
      <c r="BG23" s="5" t="s">
        <v>221</v>
      </c>
      <c r="BH23" s="18" t="s">
        <v>463</v>
      </c>
      <c r="BI23" s="18" t="s">
        <v>463</v>
      </c>
      <c r="BJ23" s="18" t="s">
        <v>213</v>
      </c>
      <c r="BK23" s="18"/>
      <c r="BL23" s="23">
        <f t="shared" si="5"/>
        <v>2520.2199999999998</v>
      </c>
      <c r="BM23" s="18" t="s">
        <v>1510</v>
      </c>
      <c r="BN23" s="74">
        <f t="shared" si="2"/>
        <v>78</v>
      </c>
      <c r="BO23" s="72" t="str">
        <f t="shared" si="3"/>
        <v>1 - 3 Months</v>
      </c>
      <c r="BP23" s="18"/>
      <c r="BQ23" s="18"/>
      <c r="BR23" s="18"/>
      <c r="BS23" s="18"/>
      <c r="BU23" s="54" t="s">
        <v>68</v>
      </c>
      <c r="BV23" s="54" t="s">
        <v>611</v>
      </c>
      <c r="BW23" s="41" t="s">
        <v>1580</v>
      </c>
      <c r="BX23" s="41">
        <f>SUMIFS(BL:BL,E:E,BU7,BM:BM,$BX$3)</f>
        <v>20364848.93</v>
      </c>
      <c r="BY23" s="41" t="s">
        <v>1581</v>
      </c>
      <c r="BZ23" s="41">
        <f>SUMIFS(BL:BL,E:E,BU7,BM:BM,$BZ$3)</f>
        <v>0</v>
      </c>
    </row>
    <row r="24" spans="1:78" ht="13.05" customHeight="1" x14ac:dyDescent="0.3">
      <c r="A24" s="3" t="s">
        <v>10</v>
      </c>
      <c r="B24" s="3" t="s">
        <v>11</v>
      </c>
      <c r="C24" s="4" t="s">
        <v>12</v>
      </c>
      <c r="D24" s="25" t="s">
        <v>1534</v>
      </c>
      <c r="E24" s="29" t="s">
        <v>616</v>
      </c>
      <c r="F24" s="29"/>
      <c r="G24" s="28" t="s">
        <v>506</v>
      </c>
      <c r="H24" s="28"/>
      <c r="I24" s="25"/>
      <c r="J24" s="28"/>
      <c r="K24" s="28" t="s">
        <v>505</v>
      </c>
      <c r="L24" s="3"/>
      <c r="M24" s="3" t="s">
        <v>624</v>
      </c>
      <c r="N24" s="3"/>
      <c r="O24" s="29" t="s">
        <v>507</v>
      </c>
      <c r="P24" s="3"/>
      <c r="Q24" s="27" t="s">
        <v>217</v>
      </c>
      <c r="R24" s="31" t="s">
        <v>618</v>
      </c>
      <c r="S24" s="32">
        <v>-3590000</v>
      </c>
      <c r="T24" s="6">
        <v>0</v>
      </c>
      <c r="U24" s="6"/>
      <c r="V24" s="6">
        <v>1.038848</v>
      </c>
      <c r="W24" s="3"/>
      <c r="X24" s="6">
        <v>1.063102</v>
      </c>
      <c r="Y24" s="3">
        <v>-2.281437E-2</v>
      </c>
      <c r="Z24" s="6">
        <v>1.0957479999999999</v>
      </c>
      <c r="AA24" s="7"/>
      <c r="AB24" s="6">
        <v>0</v>
      </c>
      <c r="AC24" s="6">
        <v>0</v>
      </c>
      <c r="AD24" s="6">
        <v>-3590000</v>
      </c>
      <c r="AE24" s="32">
        <v>-3276300.76</v>
      </c>
      <c r="AF24" s="6">
        <v>0</v>
      </c>
      <c r="AG24" s="33"/>
      <c r="AH24" s="33"/>
      <c r="AI24" s="33">
        <v>0</v>
      </c>
      <c r="AJ24" s="6"/>
      <c r="AK24" s="6"/>
      <c r="AL24" s="6"/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7">
        <v>0</v>
      </c>
      <c r="AU24" s="7"/>
      <c r="AV24" s="7"/>
      <c r="AW24" s="7">
        <v>0</v>
      </c>
      <c r="AX24" s="7"/>
      <c r="AY24" s="3"/>
      <c r="AZ24" s="18"/>
      <c r="BA24" s="5"/>
      <c r="BB24" s="5" t="s">
        <v>619</v>
      </c>
      <c r="BC24" s="5"/>
      <c r="BD24" s="5" t="s">
        <v>620</v>
      </c>
      <c r="BE24" s="5"/>
      <c r="BF24" s="5" t="s">
        <v>506</v>
      </c>
      <c r="BG24" s="5" t="s">
        <v>221</v>
      </c>
      <c r="BH24" s="18" t="s">
        <v>463</v>
      </c>
      <c r="BI24" s="18" t="s">
        <v>463</v>
      </c>
      <c r="BJ24" s="18" t="s">
        <v>213</v>
      </c>
      <c r="BK24" s="18"/>
      <c r="BL24" s="23">
        <f t="shared" si="5"/>
        <v>0</v>
      </c>
      <c r="BM24" s="18" t="s">
        <v>1510</v>
      </c>
      <c r="BN24" s="74">
        <f t="shared" si="2"/>
        <v>78</v>
      </c>
      <c r="BO24" s="72" t="str">
        <f t="shared" si="3"/>
        <v>1 - 3 Months</v>
      </c>
      <c r="BP24" s="18"/>
      <c r="BQ24" s="18"/>
      <c r="BR24" s="18"/>
      <c r="BS24" s="18"/>
      <c r="BU24" s="54" t="s">
        <v>616</v>
      </c>
      <c r="BV24" s="54"/>
      <c r="BW24" s="41" t="s">
        <v>1548</v>
      </c>
      <c r="BX24" s="41">
        <f>SUMIFS(BL:BL,E:E,BU8,BM:BM,$BX$3)</f>
        <v>58549.8</v>
      </c>
      <c r="BY24" s="41" t="s">
        <v>1549</v>
      </c>
      <c r="BZ24" s="41">
        <f>SUMIFS(BL:BL,E:E,BU8,BM:BM,$BZ$3)</f>
        <v>-1097898.1400000001</v>
      </c>
    </row>
    <row r="25" spans="1:78" ht="13.05" customHeight="1" x14ac:dyDescent="0.3">
      <c r="A25" s="3" t="s">
        <v>10</v>
      </c>
      <c r="B25" s="3" t="s">
        <v>11</v>
      </c>
      <c r="C25" s="4" t="s">
        <v>12</v>
      </c>
      <c r="D25" s="25" t="s">
        <v>1534</v>
      </c>
      <c r="E25" s="29" t="s">
        <v>616</v>
      </c>
      <c r="F25" s="29"/>
      <c r="G25" s="28" t="s">
        <v>506</v>
      </c>
      <c r="H25" s="28"/>
      <c r="I25" s="25"/>
      <c r="J25" s="28"/>
      <c r="K25" s="28" t="s">
        <v>505</v>
      </c>
      <c r="L25" s="3"/>
      <c r="M25" s="3" t="s">
        <v>624</v>
      </c>
      <c r="N25" s="3"/>
      <c r="O25" s="29" t="s">
        <v>507</v>
      </c>
      <c r="P25" s="3"/>
      <c r="Q25" s="27" t="s">
        <v>12</v>
      </c>
      <c r="R25" s="31" t="s">
        <v>618</v>
      </c>
      <c r="S25" s="32">
        <v>3276300.76</v>
      </c>
      <c r="T25" s="6">
        <v>0</v>
      </c>
      <c r="U25" s="6"/>
      <c r="V25" s="6">
        <v>1.038848</v>
      </c>
      <c r="W25" s="3"/>
      <c r="X25" s="6">
        <v>1.063102</v>
      </c>
      <c r="Y25" s="3">
        <v>-2.281437E-2</v>
      </c>
      <c r="Z25" s="6">
        <v>1.0957479999999999</v>
      </c>
      <c r="AA25" s="7"/>
      <c r="AB25" s="6">
        <v>0</v>
      </c>
      <c r="AC25" s="6">
        <v>0</v>
      </c>
      <c r="AD25" s="6">
        <v>3276300.76</v>
      </c>
      <c r="AE25" s="32">
        <v>3276300.76</v>
      </c>
      <c r="AF25" s="6">
        <v>-186421.51</v>
      </c>
      <c r="AG25" s="33">
        <v>-180047.82</v>
      </c>
      <c r="AH25" s="33">
        <v>-180047.82</v>
      </c>
      <c r="AI25" s="33">
        <v>0</v>
      </c>
      <c r="AJ25" s="6">
        <v>-180047.82</v>
      </c>
      <c r="AK25" s="6">
        <v>-78924.52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-186421.51</v>
      </c>
      <c r="AS25" s="6">
        <v>-180047.82</v>
      </c>
      <c r="AT25" s="7">
        <v>-2.5000000000000001E-3</v>
      </c>
      <c r="AU25" s="7">
        <v>-1.08588E-3</v>
      </c>
      <c r="AV25" s="7">
        <v>0</v>
      </c>
      <c r="AW25" s="7">
        <v>0</v>
      </c>
      <c r="AX25" s="7">
        <v>-1.08588E-3</v>
      </c>
      <c r="AY25" s="3"/>
      <c r="AZ25" s="18"/>
      <c r="BA25" s="5"/>
      <c r="BB25" s="5" t="s">
        <v>40</v>
      </c>
      <c r="BC25" s="5"/>
      <c r="BD25" s="5" t="s">
        <v>620</v>
      </c>
      <c r="BE25" s="5"/>
      <c r="BF25" s="5" t="s">
        <v>506</v>
      </c>
      <c r="BG25" s="5" t="s">
        <v>221</v>
      </c>
      <c r="BH25" s="18" t="s">
        <v>463</v>
      </c>
      <c r="BI25" s="18" t="s">
        <v>463</v>
      </c>
      <c r="BJ25" s="18" t="s">
        <v>213</v>
      </c>
      <c r="BK25" s="18"/>
      <c r="BL25" s="23">
        <f t="shared" si="5"/>
        <v>-180047.82</v>
      </c>
      <c r="BM25" s="18" t="s">
        <v>1509</v>
      </c>
      <c r="BN25" s="74">
        <f t="shared" si="2"/>
        <v>78</v>
      </c>
      <c r="BO25" s="72" t="str">
        <f t="shared" si="3"/>
        <v>1 - 3 Months</v>
      </c>
      <c r="BP25" s="18"/>
      <c r="BQ25" s="18"/>
      <c r="BR25" s="18"/>
      <c r="BS25" s="18"/>
      <c r="BU25" s="38"/>
      <c r="BV25" s="38"/>
      <c r="BW25" s="41" t="s">
        <v>1588</v>
      </c>
      <c r="BX25" s="42">
        <f>SUM(BX20:BX24)</f>
        <v>68461000.269999996</v>
      </c>
      <c r="BY25" s="41" t="s">
        <v>1589</v>
      </c>
      <c r="BZ25" s="42">
        <f>SUM(BZ20:BZ24)</f>
        <v>-1097898.1400000001</v>
      </c>
    </row>
    <row r="26" spans="1:78" ht="13.05" customHeight="1" x14ac:dyDescent="0.3">
      <c r="A26" s="3" t="s">
        <v>10</v>
      </c>
      <c r="B26" s="3" t="s">
        <v>11</v>
      </c>
      <c r="C26" s="4" t="s">
        <v>12</v>
      </c>
      <c r="D26" s="25" t="s">
        <v>1534</v>
      </c>
      <c r="E26" s="29" t="s">
        <v>616</v>
      </c>
      <c r="F26" s="29"/>
      <c r="G26" s="28" t="s">
        <v>491</v>
      </c>
      <c r="H26" s="28"/>
      <c r="I26" s="25"/>
      <c r="J26" s="28"/>
      <c r="K26" s="28" t="s">
        <v>490</v>
      </c>
      <c r="L26" s="3"/>
      <c r="M26" s="3" t="s">
        <v>625</v>
      </c>
      <c r="N26" s="3"/>
      <c r="O26" s="29" t="s">
        <v>492</v>
      </c>
      <c r="P26" s="3"/>
      <c r="Q26" s="27" t="s">
        <v>217</v>
      </c>
      <c r="R26" s="31" t="s">
        <v>618</v>
      </c>
      <c r="S26" s="32">
        <v>-3590000</v>
      </c>
      <c r="T26" s="6">
        <v>0</v>
      </c>
      <c r="U26" s="6"/>
      <c r="V26" s="6">
        <v>1.038848</v>
      </c>
      <c r="W26" s="3"/>
      <c r="X26" s="6">
        <v>1.063102</v>
      </c>
      <c r="Y26" s="3">
        <v>-2.281437E-2</v>
      </c>
      <c r="Z26" s="6">
        <v>1.077998</v>
      </c>
      <c r="AA26" s="7"/>
      <c r="AB26" s="6">
        <v>0</v>
      </c>
      <c r="AC26" s="6">
        <v>0</v>
      </c>
      <c r="AD26" s="6">
        <v>-3590000</v>
      </c>
      <c r="AE26" s="32">
        <v>-3330247.37</v>
      </c>
      <c r="AF26" s="6">
        <v>0</v>
      </c>
      <c r="AG26" s="33"/>
      <c r="AH26" s="33"/>
      <c r="AI26" s="33">
        <v>0</v>
      </c>
      <c r="AJ26" s="6"/>
      <c r="AK26" s="6"/>
      <c r="AL26" s="6"/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7">
        <v>0</v>
      </c>
      <c r="AU26" s="7"/>
      <c r="AV26" s="7"/>
      <c r="AW26" s="7">
        <v>0</v>
      </c>
      <c r="AX26" s="7"/>
      <c r="AY26" s="3"/>
      <c r="AZ26" s="18"/>
      <c r="BA26" s="5"/>
      <c r="BB26" s="5" t="s">
        <v>619</v>
      </c>
      <c r="BC26" s="5"/>
      <c r="BD26" s="5" t="s">
        <v>620</v>
      </c>
      <c r="BE26" s="5"/>
      <c r="BF26" s="5" t="s">
        <v>491</v>
      </c>
      <c r="BG26" s="5" t="s">
        <v>221</v>
      </c>
      <c r="BH26" s="18" t="s">
        <v>463</v>
      </c>
      <c r="BI26" s="18" t="s">
        <v>463</v>
      </c>
      <c r="BJ26" s="18" t="s">
        <v>213</v>
      </c>
      <c r="BK26" s="18"/>
      <c r="BL26" s="23">
        <f t="shared" si="5"/>
        <v>0</v>
      </c>
      <c r="BM26" s="18" t="s">
        <v>1510</v>
      </c>
      <c r="BN26" s="74">
        <f t="shared" si="2"/>
        <v>78</v>
      </c>
      <c r="BO26" s="72" t="str">
        <f t="shared" si="3"/>
        <v>1 - 3 Months</v>
      </c>
      <c r="BP26" s="18"/>
      <c r="BQ26" s="18"/>
      <c r="BR26" s="18"/>
      <c r="BS26" s="18"/>
    </row>
    <row r="27" spans="1:78" ht="13.05" customHeight="1" x14ac:dyDescent="0.3">
      <c r="A27" s="3" t="s">
        <v>10</v>
      </c>
      <c r="B27" s="3" t="s">
        <v>11</v>
      </c>
      <c r="C27" s="4" t="s">
        <v>12</v>
      </c>
      <c r="D27" s="25" t="s">
        <v>1534</v>
      </c>
      <c r="E27" s="29" t="s">
        <v>616</v>
      </c>
      <c r="F27" s="29"/>
      <c r="G27" s="28" t="s">
        <v>491</v>
      </c>
      <c r="H27" s="28">
        <v>8939310446</v>
      </c>
      <c r="I27" s="25"/>
      <c r="J27" s="28"/>
      <c r="K27" s="28" t="s">
        <v>490</v>
      </c>
      <c r="L27" s="3"/>
      <c r="M27" s="3" t="s">
        <v>625</v>
      </c>
      <c r="N27" s="3"/>
      <c r="O27" s="29" t="s">
        <v>492</v>
      </c>
      <c r="P27" s="3"/>
      <c r="Q27" s="27" t="s">
        <v>12</v>
      </c>
      <c r="R27" s="31" t="s">
        <v>618</v>
      </c>
      <c r="S27" s="32">
        <v>3330247.37</v>
      </c>
      <c r="T27" s="6">
        <v>0</v>
      </c>
      <c r="U27" s="6"/>
      <c r="V27" s="6">
        <v>1.038848</v>
      </c>
      <c r="W27" s="3"/>
      <c r="X27" s="6">
        <v>1.063102</v>
      </c>
      <c r="Y27" s="3">
        <v>-2.281437E-2</v>
      </c>
      <c r="Z27" s="6">
        <v>1.077998</v>
      </c>
      <c r="AA27" s="7"/>
      <c r="AB27" s="6">
        <v>0</v>
      </c>
      <c r="AC27" s="6">
        <v>0</v>
      </c>
      <c r="AD27" s="6">
        <v>3330247.37</v>
      </c>
      <c r="AE27" s="32">
        <v>3330247.37</v>
      </c>
      <c r="AF27" s="6">
        <v>-130379.18</v>
      </c>
      <c r="AG27" s="33">
        <v>-125921.56</v>
      </c>
      <c r="AH27" s="33">
        <v>-125921.56</v>
      </c>
      <c r="AI27" s="33">
        <v>0</v>
      </c>
      <c r="AJ27" s="6">
        <v>-125921.56</v>
      </c>
      <c r="AK27" s="6">
        <v>-79020.399999999994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-130379.18</v>
      </c>
      <c r="AS27" s="6">
        <v>-125921.56</v>
      </c>
      <c r="AT27" s="7">
        <v>-1.6999999999999999E-3</v>
      </c>
      <c r="AU27" s="7">
        <v>-1.0872E-3</v>
      </c>
      <c r="AV27" s="7">
        <v>0</v>
      </c>
      <c r="AW27" s="7">
        <v>0</v>
      </c>
      <c r="AX27" s="7">
        <v>-1.0872E-3</v>
      </c>
      <c r="AY27" s="3"/>
      <c r="AZ27" s="18"/>
      <c r="BA27" s="5"/>
      <c r="BB27" s="5" t="s">
        <v>40</v>
      </c>
      <c r="BC27" s="5"/>
      <c r="BD27" s="5" t="s">
        <v>620</v>
      </c>
      <c r="BE27" s="5"/>
      <c r="BF27" s="5" t="s">
        <v>491</v>
      </c>
      <c r="BG27" s="5" t="s">
        <v>221</v>
      </c>
      <c r="BH27" s="18" t="s">
        <v>463</v>
      </c>
      <c r="BI27" s="18" t="s">
        <v>463</v>
      </c>
      <c r="BJ27" s="18" t="s">
        <v>213</v>
      </c>
      <c r="BK27" s="18"/>
      <c r="BL27" s="23">
        <f t="shared" si="5"/>
        <v>-125921.56</v>
      </c>
      <c r="BM27" s="18" t="s">
        <v>1509</v>
      </c>
      <c r="BN27" s="74">
        <f t="shared" si="2"/>
        <v>78</v>
      </c>
      <c r="BO27" s="72" t="str">
        <f t="shared" si="3"/>
        <v>1 - 3 Months</v>
      </c>
      <c r="BP27" s="18"/>
      <c r="BQ27" s="18"/>
      <c r="BR27" s="18"/>
      <c r="BS27" s="18"/>
      <c r="BX27" s="45" t="s">
        <v>1550</v>
      </c>
    </row>
    <row r="28" spans="1:78" ht="13.05" customHeight="1" x14ac:dyDescent="0.3">
      <c r="A28" s="3" t="s">
        <v>10</v>
      </c>
      <c r="B28" s="3" t="s">
        <v>11</v>
      </c>
      <c r="C28" s="4" t="s">
        <v>12</v>
      </c>
      <c r="D28" s="25" t="s">
        <v>1534</v>
      </c>
      <c r="E28" s="29" t="s">
        <v>616</v>
      </c>
      <c r="F28" s="29"/>
      <c r="G28" s="28" t="s">
        <v>494</v>
      </c>
      <c r="H28" s="28"/>
      <c r="I28" s="25"/>
      <c r="J28" s="28"/>
      <c r="K28" s="28" t="s">
        <v>493</v>
      </c>
      <c r="L28" s="3"/>
      <c r="M28" s="3" t="s">
        <v>626</v>
      </c>
      <c r="N28" s="3"/>
      <c r="O28" s="29" t="s">
        <v>495</v>
      </c>
      <c r="P28" s="3"/>
      <c r="Q28" s="27" t="s">
        <v>217</v>
      </c>
      <c r="R28" s="31" t="s">
        <v>618</v>
      </c>
      <c r="S28" s="32">
        <v>-3590000</v>
      </c>
      <c r="T28" s="6">
        <v>0</v>
      </c>
      <c r="U28" s="6"/>
      <c r="V28" s="6">
        <v>1.038848</v>
      </c>
      <c r="W28" s="3"/>
      <c r="X28" s="6">
        <v>1.063102</v>
      </c>
      <c r="Y28" s="3">
        <v>-2.281437E-2</v>
      </c>
      <c r="Z28" s="6">
        <v>1.082595</v>
      </c>
      <c r="AA28" s="7"/>
      <c r="AB28" s="6">
        <v>0</v>
      </c>
      <c r="AC28" s="6">
        <v>0</v>
      </c>
      <c r="AD28" s="6">
        <v>-3590000</v>
      </c>
      <c r="AE28" s="32">
        <v>-3316106.21</v>
      </c>
      <c r="AF28" s="6">
        <v>0</v>
      </c>
      <c r="AG28" s="33"/>
      <c r="AH28" s="33"/>
      <c r="AI28" s="33">
        <v>0</v>
      </c>
      <c r="AJ28" s="6"/>
      <c r="AK28" s="6"/>
      <c r="AL28" s="6"/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7">
        <v>0</v>
      </c>
      <c r="AU28" s="7"/>
      <c r="AV28" s="7"/>
      <c r="AW28" s="7">
        <v>0</v>
      </c>
      <c r="AX28" s="7"/>
      <c r="AY28" s="3"/>
      <c r="AZ28" s="18"/>
      <c r="BA28" s="5"/>
      <c r="BB28" s="5" t="s">
        <v>619</v>
      </c>
      <c r="BC28" s="5"/>
      <c r="BD28" s="5" t="s">
        <v>620</v>
      </c>
      <c r="BE28" s="5"/>
      <c r="BF28" s="5" t="s">
        <v>494</v>
      </c>
      <c r="BG28" s="5" t="s">
        <v>221</v>
      </c>
      <c r="BH28" s="18" t="s">
        <v>463</v>
      </c>
      <c r="BI28" s="18" t="s">
        <v>463</v>
      </c>
      <c r="BJ28" s="18" t="s">
        <v>213</v>
      </c>
      <c r="BK28" s="18"/>
      <c r="BL28" s="23">
        <f t="shared" si="5"/>
        <v>0</v>
      </c>
      <c r="BM28" s="18" t="s">
        <v>1510</v>
      </c>
      <c r="BN28" s="74">
        <f t="shared" si="2"/>
        <v>78</v>
      </c>
      <c r="BO28" s="72" t="str">
        <f t="shared" si="3"/>
        <v>1 - 3 Months</v>
      </c>
      <c r="BP28" s="18"/>
      <c r="BQ28" s="18"/>
      <c r="BR28" s="18"/>
      <c r="BS28" s="18"/>
      <c r="BU28" s="27" t="s">
        <v>12</v>
      </c>
      <c r="BV28" s="25"/>
      <c r="BW28" t="s">
        <v>1551</v>
      </c>
      <c r="BX28" s="76">
        <f>+BX38+BZ38</f>
        <v>41862994.450000003</v>
      </c>
    </row>
    <row r="29" spans="1:78" ht="13.05" customHeight="1" x14ac:dyDescent="0.3">
      <c r="A29" s="3" t="s">
        <v>10</v>
      </c>
      <c r="B29" s="3" t="s">
        <v>11</v>
      </c>
      <c r="C29" s="4" t="s">
        <v>12</v>
      </c>
      <c r="D29" s="25" t="s">
        <v>1534</v>
      </c>
      <c r="E29" s="29" t="s">
        <v>616</v>
      </c>
      <c r="F29" s="29"/>
      <c r="G29" s="28" t="s">
        <v>494</v>
      </c>
      <c r="H29" s="28"/>
      <c r="I29" s="25"/>
      <c r="J29" s="28"/>
      <c r="K29" s="28" t="s">
        <v>493</v>
      </c>
      <c r="L29" s="3"/>
      <c r="M29" s="3" t="s">
        <v>626</v>
      </c>
      <c r="N29" s="3"/>
      <c r="O29" s="29" t="s">
        <v>495</v>
      </c>
      <c r="P29" s="3"/>
      <c r="Q29" s="27" t="s">
        <v>12</v>
      </c>
      <c r="R29" s="31" t="s">
        <v>618</v>
      </c>
      <c r="S29" s="32">
        <v>3316106.21</v>
      </c>
      <c r="T29" s="6">
        <v>0</v>
      </c>
      <c r="U29" s="6"/>
      <c r="V29" s="6">
        <v>1.038848</v>
      </c>
      <c r="W29" s="3"/>
      <c r="X29" s="6">
        <v>1.063102</v>
      </c>
      <c r="Y29" s="3">
        <v>-2.281437E-2</v>
      </c>
      <c r="Z29" s="6">
        <v>1.082595</v>
      </c>
      <c r="AA29" s="7"/>
      <c r="AB29" s="6">
        <v>0</v>
      </c>
      <c r="AC29" s="6">
        <v>0</v>
      </c>
      <c r="AD29" s="6">
        <v>3316106.21</v>
      </c>
      <c r="AE29" s="32">
        <v>3316106.21</v>
      </c>
      <c r="AF29" s="6">
        <v>-145069.70000000001</v>
      </c>
      <c r="AG29" s="33">
        <v>-140109.81</v>
      </c>
      <c r="AH29" s="33">
        <v>-140109.81</v>
      </c>
      <c r="AI29" s="33">
        <v>0</v>
      </c>
      <c r="AJ29" s="6">
        <v>-140109.81</v>
      </c>
      <c r="AK29" s="6">
        <v>-78995.259999999995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-145069.70000000001</v>
      </c>
      <c r="AS29" s="6">
        <v>-140109.81</v>
      </c>
      <c r="AT29" s="7">
        <v>-1.9E-3</v>
      </c>
      <c r="AU29" s="7">
        <v>-1.0868500000000001E-3</v>
      </c>
      <c r="AV29" s="7">
        <v>0</v>
      </c>
      <c r="AW29" s="7">
        <v>0</v>
      </c>
      <c r="AX29" s="7">
        <v>-1.0868500000000001E-3</v>
      </c>
      <c r="AY29" s="3"/>
      <c r="AZ29" s="18"/>
      <c r="BA29" s="5"/>
      <c r="BB29" s="5" t="s">
        <v>40</v>
      </c>
      <c r="BC29" s="5"/>
      <c r="BD29" s="5" t="s">
        <v>620</v>
      </c>
      <c r="BE29" s="5"/>
      <c r="BF29" s="5" t="s">
        <v>494</v>
      </c>
      <c r="BG29" s="5" t="s">
        <v>221</v>
      </c>
      <c r="BH29" s="18" t="s">
        <v>463</v>
      </c>
      <c r="BI29" s="18" t="s">
        <v>463</v>
      </c>
      <c r="BJ29" s="18" t="s">
        <v>213</v>
      </c>
      <c r="BK29" s="18"/>
      <c r="BL29" s="23">
        <f t="shared" si="5"/>
        <v>-140109.81</v>
      </c>
      <c r="BM29" s="18" t="s">
        <v>1509</v>
      </c>
      <c r="BN29" s="74">
        <f t="shared" si="2"/>
        <v>78</v>
      </c>
      <c r="BO29" s="72" t="str">
        <f t="shared" si="3"/>
        <v>1 - 3 Months</v>
      </c>
      <c r="BP29" s="18"/>
      <c r="BQ29" s="18"/>
      <c r="BR29" s="18"/>
      <c r="BS29" s="18"/>
      <c r="BU29" s="27" t="s">
        <v>216</v>
      </c>
      <c r="BV29" s="25"/>
      <c r="BW29" t="s">
        <v>1552</v>
      </c>
      <c r="BX29" s="76">
        <f>+BX39+BZ39</f>
        <v>0</v>
      </c>
    </row>
    <row r="30" spans="1:78" ht="13.05" customHeight="1" x14ac:dyDescent="0.3">
      <c r="A30" s="3" t="s">
        <v>10</v>
      </c>
      <c r="B30" s="3" t="s">
        <v>11</v>
      </c>
      <c r="C30" s="4" t="s">
        <v>12</v>
      </c>
      <c r="D30" s="25" t="s">
        <v>1534</v>
      </c>
      <c r="E30" s="29" t="s">
        <v>616</v>
      </c>
      <c r="F30" s="29"/>
      <c r="G30" s="28" t="s">
        <v>497</v>
      </c>
      <c r="H30" s="28"/>
      <c r="I30" s="25"/>
      <c r="J30" s="28"/>
      <c r="K30" s="28" t="s">
        <v>496</v>
      </c>
      <c r="L30" s="3"/>
      <c r="M30" s="3" t="s">
        <v>627</v>
      </c>
      <c r="N30" s="3"/>
      <c r="O30" s="29" t="s">
        <v>498</v>
      </c>
      <c r="P30" s="3"/>
      <c r="Q30" s="27" t="s">
        <v>217</v>
      </c>
      <c r="R30" s="31" t="s">
        <v>618</v>
      </c>
      <c r="S30" s="32">
        <v>-3590000</v>
      </c>
      <c r="T30" s="6">
        <v>0</v>
      </c>
      <c r="U30" s="6"/>
      <c r="V30" s="6">
        <v>1.038848</v>
      </c>
      <c r="W30" s="3"/>
      <c r="X30" s="6">
        <v>1.063102</v>
      </c>
      <c r="Y30" s="3">
        <v>-2.281437E-2</v>
      </c>
      <c r="Z30" s="6">
        <v>1.0830979999999999</v>
      </c>
      <c r="AA30" s="7"/>
      <c r="AB30" s="6">
        <v>0</v>
      </c>
      <c r="AC30" s="6">
        <v>0</v>
      </c>
      <c r="AD30" s="6">
        <v>-3590000</v>
      </c>
      <c r="AE30" s="32">
        <v>-3314565.26</v>
      </c>
      <c r="AF30" s="6">
        <v>0</v>
      </c>
      <c r="AG30" s="33"/>
      <c r="AH30" s="33"/>
      <c r="AI30" s="33">
        <v>0</v>
      </c>
      <c r="AJ30" s="6"/>
      <c r="AK30" s="6"/>
      <c r="AL30" s="6"/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7">
        <v>0</v>
      </c>
      <c r="AU30" s="7"/>
      <c r="AV30" s="7"/>
      <c r="AW30" s="7">
        <v>0</v>
      </c>
      <c r="AX30" s="7"/>
      <c r="AY30" s="3"/>
      <c r="AZ30" s="18"/>
      <c r="BA30" s="5"/>
      <c r="BB30" s="5" t="s">
        <v>619</v>
      </c>
      <c r="BC30" s="5"/>
      <c r="BD30" s="5" t="s">
        <v>620</v>
      </c>
      <c r="BE30" s="5"/>
      <c r="BF30" s="5" t="s">
        <v>497</v>
      </c>
      <c r="BG30" s="5" t="s">
        <v>221</v>
      </c>
      <c r="BH30" s="18" t="s">
        <v>463</v>
      </c>
      <c r="BI30" s="18" t="s">
        <v>463</v>
      </c>
      <c r="BJ30" s="18" t="s">
        <v>213</v>
      </c>
      <c r="BK30" s="18"/>
      <c r="BL30" s="23">
        <f t="shared" si="5"/>
        <v>0</v>
      </c>
      <c r="BM30" s="18" t="s">
        <v>1510</v>
      </c>
      <c r="BN30" s="74">
        <f t="shared" si="2"/>
        <v>78</v>
      </c>
      <c r="BO30" s="72" t="str">
        <f t="shared" si="3"/>
        <v>1 - 3 Months</v>
      </c>
      <c r="BP30" s="18"/>
      <c r="BQ30" s="18"/>
      <c r="BR30" s="18"/>
      <c r="BS30" s="18"/>
      <c r="BU30" s="27" t="s">
        <v>217</v>
      </c>
      <c r="BV30" s="25"/>
      <c r="BW30" t="s">
        <v>1553</v>
      </c>
      <c r="BX30" s="76">
        <f>+BX40+BZ40</f>
        <v>25500107.679999996</v>
      </c>
    </row>
    <row r="31" spans="1:78" ht="13.05" customHeight="1" x14ac:dyDescent="0.3">
      <c r="A31" s="3" t="s">
        <v>10</v>
      </c>
      <c r="B31" s="3" t="s">
        <v>11</v>
      </c>
      <c r="C31" s="4" t="s">
        <v>12</v>
      </c>
      <c r="D31" s="25" t="s">
        <v>1534</v>
      </c>
      <c r="E31" s="29" t="s">
        <v>616</v>
      </c>
      <c r="F31" s="29"/>
      <c r="G31" s="28" t="s">
        <v>497</v>
      </c>
      <c r="H31" s="28"/>
      <c r="I31" s="25"/>
      <c r="J31" s="28"/>
      <c r="K31" s="28" t="s">
        <v>496</v>
      </c>
      <c r="L31" s="3"/>
      <c r="M31" s="3" t="s">
        <v>627</v>
      </c>
      <c r="N31" s="3"/>
      <c r="O31" s="29" t="s">
        <v>498</v>
      </c>
      <c r="P31" s="3"/>
      <c r="Q31" s="27" t="s">
        <v>12</v>
      </c>
      <c r="R31" s="31" t="s">
        <v>618</v>
      </c>
      <c r="S31" s="32">
        <v>3314565.26</v>
      </c>
      <c r="T31" s="6">
        <v>0</v>
      </c>
      <c r="U31" s="6"/>
      <c r="V31" s="6">
        <v>1.038848</v>
      </c>
      <c r="W31" s="3"/>
      <c r="X31" s="6">
        <v>1.063102</v>
      </c>
      <c r="Y31" s="3">
        <v>-2.281437E-2</v>
      </c>
      <c r="Z31" s="6">
        <v>1.0830979999999999</v>
      </c>
      <c r="AA31" s="7"/>
      <c r="AB31" s="6">
        <v>0</v>
      </c>
      <c r="AC31" s="6">
        <v>0</v>
      </c>
      <c r="AD31" s="6">
        <v>3314565.26</v>
      </c>
      <c r="AE31" s="32">
        <v>3314565.26</v>
      </c>
      <c r="AF31" s="6">
        <v>-146670.51</v>
      </c>
      <c r="AG31" s="33">
        <v>-141655.89000000001</v>
      </c>
      <c r="AH31" s="33">
        <v>-141655.89000000001</v>
      </c>
      <c r="AI31" s="33">
        <v>0</v>
      </c>
      <c r="AJ31" s="6">
        <v>-141655.89000000001</v>
      </c>
      <c r="AK31" s="6">
        <v>-78992.53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-146670.51</v>
      </c>
      <c r="AS31" s="6">
        <v>-141655.89000000001</v>
      </c>
      <c r="AT31" s="7">
        <v>-2E-3</v>
      </c>
      <c r="AU31" s="7">
        <v>-1.0868099999999999E-3</v>
      </c>
      <c r="AV31" s="7">
        <v>0</v>
      </c>
      <c r="AW31" s="7">
        <v>0</v>
      </c>
      <c r="AX31" s="7">
        <v>-1.0868099999999999E-3</v>
      </c>
      <c r="AY31" s="3"/>
      <c r="AZ31" s="18"/>
      <c r="BA31" s="5"/>
      <c r="BB31" s="5" t="s">
        <v>40</v>
      </c>
      <c r="BC31" s="5"/>
      <c r="BD31" s="5" t="s">
        <v>620</v>
      </c>
      <c r="BE31" s="5"/>
      <c r="BF31" s="5" t="s">
        <v>497</v>
      </c>
      <c r="BG31" s="5" t="s">
        <v>221</v>
      </c>
      <c r="BH31" s="18" t="s">
        <v>463</v>
      </c>
      <c r="BI31" s="18" t="s">
        <v>463</v>
      </c>
      <c r="BJ31" s="18" t="s">
        <v>213</v>
      </c>
      <c r="BK31" s="18"/>
      <c r="BL31" s="23">
        <f t="shared" si="5"/>
        <v>-141655.89000000001</v>
      </c>
      <c r="BM31" s="18" t="s">
        <v>1509</v>
      </c>
      <c r="BN31" s="74">
        <f t="shared" si="2"/>
        <v>78</v>
      </c>
      <c r="BO31" s="72" t="str">
        <f t="shared" si="3"/>
        <v>1 - 3 Months</v>
      </c>
      <c r="BP31" s="18"/>
      <c r="BQ31" s="18"/>
      <c r="BR31" s="18"/>
      <c r="BS31" s="18"/>
      <c r="BV31" s="43"/>
      <c r="BX31" s="45" t="s">
        <v>616</v>
      </c>
    </row>
    <row r="32" spans="1:78" ht="13.05" customHeight="1" x14ac:dyDescent="0.3">
      <c r="A32" s="3" t="s">
        <v>10</v>
      </c>
      <c r="B32" s="3" t="s">
        <v>11</v>
      </c>
      <c r="C32" s="4" t="s">
        <v>12</v>
      </c>
      <c r="D32" s="25" t="s">
        <v>1534</v>
      </c>
      <c r="E32" s="29" t="s">
        <v>616</v>
      </c>
      <c r="F32" s="29"/>
      <c r="G32" s="28" t="s">
        <v>518</v>
      </c>
      <c r="H32" s="28"/>
      <c r="I32" s="25"/>
      <c r="J32" s="28"/>
      <c r="K32" s="28" t="s">
        <v>517</v>
      </c>
      <c r="L32" s="3"/>
      <c r="M32" s="3" t="s">
        <v>628</v>
      </c>
      <c r="N32" s="3"/>
      <c r="O32" s="29" t="s">
        <v>519</v>
      </c>
      <c r="P32" s="3"/>
      <c r="Q32" s="27" t="s">
        <v>216</v>
      </c>
      <c r="R32" s="31" t="s">
        <v>618</v>
      </c>
      <c r="S32" s="32">
        <v>-8000</v>
      </c>
      <c r="T32" s="6">
        <v>0</v>
      </c>
      <c r="U32" s="6"/>
      <c r="V32" s="6">
        <v>0.830704</v>
      </c>
      <c r="W32" s="3"/>
      <c r="X32" s="6">
        <v>0.83496300000000001</v>
      </c>
      <c r="Y32" s="3">
        <v>-5.1008199999999998E-3</v>
      </c>
      <c r="Z32" s="6">
        <v>0.83805799999999997</v>
      </c>
      <c r="AA32" s="7"/>
      <c r="AB32" s="6">
        <v>0</v>
      </c>
      <c r="AC32" s="6">
        <v>0</v>
      </c>
      <c r="AD32" s="6">
        <v>-8000</v>
      </c>
      <c r="AE32" s="32">
        <v>-9545.8799999999992</v>
      </c>
      <c r="AF32" s="6">
        <v>0</v>
      </c>
      <c r="AG32" s="33"/>
      <c r="AH32" s="33"/>
      <c r="AI32" s="33">
        <v>0</v>
      </c>
      <c r="AJ32" s="6"/>
      <c r="AK32" s="6"/>
      <c r="AL32" s="6"/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7">
        <v>0</v>
      </c>
      <c r="AU32" s="7"/>
      <c r="AV32" s="7"/>
      <c r="AW32" s="7">
        <v>0</v>
      </c>
      <c r="AX32" s="7"/>
      <c r="AY32" s="3"/>
      <c r="AZ32" s="18"/>
      <c r="BA32" s="5"/>
      <c r="BB32" s="5" t="s">
        <v>619</v>
      </c>
      <c r="BC32" s="5"/>
      <c r="BD32" s="5" t="s">
        <v>620</v>
      </c>
      <c r="BE32" s="5"/>
      <c r="BF32" s="5" t="s">
        <v>518</v>
      </c>
      <c r="BG32" s="5" t="s">
        <v>221</v>
      </c>
      <c r="BH32" s="18" t="s">
        <v>463</v>
      </c>
      <c r="BI32" s="18" t="s">
        <v>463</v>
      </c>
      <c r="BJ32" s="18" t="s">
        <v>213</v>
      </c>
      <c r="BK32" s="18"/>
      <c r="BL32" s="23">
        <f t="shared" si="5"/>
        <v>0</v>
      </c>
      <c r="BM32" s="18" t="s">
        <v>1510</v>
      </c>
      <c r="BN32" s="74">
        <f t="shared" si="2"/>
        <v>78</v>
      </c>
      <c r="BO32" s="72" t="str">
        <f t="shared" si="3"/>
        <v>1 - 3 Months</v>
      </c>
      <c r="BP32" s="18"/>
      <c r="BQ32" s="18"/>
      <c r="BR32" s="18"/>
      <c r="BS32" s="18"/>
      <c r="BU32" s="27" t="s">
        <v>12</v>
      </c>
      <c r="BV32" s="25"/>
      <c r="BW32" t="s">
        <v>1554</v>
      </c>
      <c r="BX32">
        <f>SUMIFS(BL:BL,BM:BM,"Long",Q:Q,BU32)-SUMIFS(BL:BL,BM:BM,"long",Q:Q,BU32,E:E,BX31)</f>
        <v>42960892.590000004</v>
      </c>
    </row>
    <row r="33" spans="1:78" ht="13.05" customHeight="1" x14ac:dyDescent="0.3">
      <c r="A33" s="3" t="s">
        <v>10</v>
      </c>
      <c r="B33" s="3" t="s">
        <v>11</v>
      </c>
      <c r="C33" s="4" t="s">
        <v>12</v>
      </c>
      <c r="D33" s="25" t="s">
        <v>1534</v>
      </c>
      <c r="E33" s="29" t="s">
        <v>616</v>
      </c>
      <c r="F33" s="29"/>
      <c r="G33" s="28" t="s">
        <v>518</v>
      </c>
      <c r="H33" s="28"/>
      <c r="I33" s="25"/>
      <c r="J33" s="28"/>
      <c r="K33" s="28" t="s">
        <v>517</v>
      </c>
      <c r="L33" s="3"/>
      <c r="M33" s="3" t="s">
        <v>628</v>
      </c>
      <c r="N33" s="3"/>
      <c r="O33" s="29" t="s">
        <v>519</v>
      </c>
      <c r="P33" s="3"/>
      <c r="Q33" s="27" t="s">
        <v>12</v>
      </c>
      <c r="R33" s="31" t="s">
        <v>618</v>
      </c>
      <c r="S33" s="32">
        <v>9545.8799999999992</v>
      </c>
      <c r="T33" s="6">
        <v>0</v>
      </c>
      <c r="U33" s="6"/>
      <c r="V33" s="6">
        <v>0.830704</v>
      </c>
      <c r="W33" s="3"/>
      <c r="X33" s="6">
        <v>0.83496300000000001</v>
      </c>
      <c r="Y33" s="3">
        <v>-5.1008199999999998E-3</v>
      </c>
      <c r="Z33" s="6">
        <v>0.83805799999999997</v>
      </c>
      <c r="AA33" s="7"/>
      <c r="AB33" s="6">
        <v>0</v>
      </c>
      <c r="AC33" s="6">
        <v>0</v>
      </c>
      <c r="AD33" s="6">
        <v>9545.8799999999992</v>
      </c>
      <c r="AE33" s="32">
        <v>9545.8799999999992</v>
      </c>
      <c r="AF33" s="6">
        <v>-70.2</v>
      </c>
      <c r="AG33" s="33">
        <v>-84.86</v>
      </c>
      <c r="AH33" s="33">
        <v>-84.86</v>
      </c>
      <c r="AI33" s="33">
        <v>0</v>
      </c>
      <c r="AJ33" s="6">
        <v>-84.86</v>
      </c>
      <c r="AK33" s="6">
        <v>-49.29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-70.2</v>
      </c>
      <c r="AS33" s="6">
        <v>-84.86</v>
      </c>
      <c r="AT33" s="7">
        <v>0</v>
      </c>
      <c r="AU33" s="7">
        <v>-6.7999999999999995E-7</v>
      </c>
      <c r="AV33" s="7">
        <v>0</v>
      </c>
      <c r="AW33" s="7">
        <v>0</v>
      </c>
      <c r="AX33" s="7">
        <v>-6.7999999999999995E-7</v>
      </c>
      <c r="AY33" s="3"/>
      <c r="AZ33" s="18"/>
      <c r="BA33" s="5"/>
      <c r="BB33" s="5" t="s">
        <v>40</v>
      </c>
      <c r="BC33" s="5"/>
      <c r="BD33" s="5" t="s">
        <v>620</v>
      </c>
      <c r="BE33" s="5"/>
      <c r="BF33" s="5" t="s">
        <v>518</v>
      </c>
      <c r="BG33" s="5" t="s">
        <v>221</v>
      </c>
      <c r="BH33" s="18" t="s">
        <v>463</v>
      </c>
      <c r="BI33" s="18" t="s">
        <v>463</v>
      </c>
      <c r="BJ33" s="18" t="s">
        <v>213</v>
      </c>
      <c r="BK33" s="18"/>
      <c r="BL33" s="23">
        <f t="shared" si="5"/>
        <v>-84.86</v>
      </c>
      <c r="BM33" s="18" t="s">
        <v>1509</v>
      </c>
      <c r="BN33" s="74">
        <f t="shared" si="2"/>
        <v>78</v>
      </c>
      <c r="BO33" s="72" t="str">
        <f t="shared" si="3"/>
        <v>1 - 3 Months</v>
      </c>
      <c r="BP33" s="18"/>
      <c r="BQ33" s="18"/>
      <c r="BR33" s="18"/>
      <c r="BS33" s="18"/>
      <c r="BU33" s="27" t="s">
        <v>216</v>
      </c>
      <c r="BV33" s="25"/>
      <c r="BW33" t="s">
        <v>1555</v>
      </c>
    </row>
    <row r="34" spans="1:78" ht="13.05" customHeight="1" x14ac:dyDescent="0.3">
      <c r="A34" s="3" t="s">
        <v>10</v>
      </c>
      <c r="B34" s="3" t="s">
        <v>11</v>
      </c>
      <c r="C34" s="4" t="s">
        <v>12</v>
      </c>
      <c r="D34" s="25" t="s">
        <v>1534</v>
      </c>
      <c r="E34" s="29" t="s">
        <v>616</v>
      </c>
      <c r="F34" s="29"/>
      <c r="G34" s="28" t="s">
        <v>488</v>
      </c>
      <c r="H34" s="28"/>
      <c r="I34" s="25"/>
      <c r="J34" s="28"/>
      <c r="K34" s="28" t="s">
        <v>487</v>
      </c>
      <c r="L34" s="3"/>
      <c r="M34" s="3" t="s">
        <v>629</v>
      </c>
      <c r="N34" s="3"/>
      <c r="O34" s="29" t="s">
        <v>489</v>
      </c>
      <c r="P34" s="3"/>
      <c r="Q34" s="27" t="s">
        <v>217</v>
      </c>
      <c r="R34" s="31" t="s">
        <v>618</v>
      </c>
      <c r="S34" s="32">
        <v>-3590000</v>
      </c>
      <c r="T34" s="6">
        <v>0</v>
      </c>
      <c r="U34" s="6"/>
      <c r="V34" s="6">
        <v>1.038848</v>
      </c>
      <c r="W34" s="3"/>
      <c r="X34" s="6">
        <v>1.063102</v>
      </c>
      <c r="Y34" s="3">
        <v>-2.281437E-2</v>
      </c>
      <c r="Z34" s="6">
        <v>1.064516</v>
      </c>
      <c r="AA34" s="7"/>
      <c r="AB34" s="6">
        <v>0</v>
      </c>
      <c r="AC34" s="6">
        <v>0</v>
      </c>
      <c r="AD34" s="6">
        <v>-3590000</v>
      </c>
      <c r="AE34" s="32">
        <v>-3372424.65</v>
      </c>
      <c r="AF34" s="6">
        <v>0</v>
      </c>
      <c r="AG34" s="33"/>
      <c r="AH34" s="33"/>
      <c r="AI34" s="33">
        <v>0</v>
      </c>
      <c r="AJ34" s="6"/>
      <c r="AK34" s="6"/>
      <c r="AL34" s="6"/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7">
        <v>0</v>
      </c>
      <c r="AU34" s="7"/>
      <c r="AV34" s="7"/>
      <c r="AW34" s="7">
        <v>0</v>
      </c>
      <c r="AX34" s="7"/>
      <c r="AY34" s="3"/>
      <c r="AZ34" s="18"/>
      <c r="BA34" s="5"/>
      <c r="BB34" s="5" t="s">
        <v>619</v>
      </c>
      <c r="BC34" s="5"/>
      <c r="BD34" s="5" t="s">
        <v>620</v>
      </c>
      <c r="BE34" s="5"/>
      <c r="BF34" s="5" t="s">
        <v>488</v>
      </c>
      <c r="BG34" s="5" t="s">
        <v>221</v>
      </c>
      <c r="BH34" s="18" t="s">
        <v>463</v>
      </c>
      <c r="BI34" s="18" t="s">
        <v>463</v>
      </c>
      <c r="BJ34" s="18" t="s">
        <v>213</v>
      </c>
      <c r="BK34" s="18"/>
      <c r="BL34" s="23">
        <f t="shared" si="5"/>
        <v>0</v>
      </c>
      <c r="BM34" s="18" t="s">
        <v>1510</v>
      </c>
      <c r="BN34" s="74">
        <f t="shared" si="2"/>
        <v>78</v>
      </c>
      <c r="BO34" s="72" t="str">
        <f t="shared" si="3"/>
        <v>1 - 3 Months</v>
      </c>
      <c r="BP34" s="18"/>
      <c r="BQ34" s="18"/>
      <c r="BR34" s="18"/>
      <c r="BS34" s="18"/>
      <c r="BU34" s="27" t="s">
        <v>217</v>
      </c>
      <c r="BV34" s="25"/>
      <c r="BW34" t="s">
        <v>1556</v>
      </c>
    </row>
    <row r="35" spans="1:78" ht="13.05" customHeight="1" x14ac:dyDescent="0.3">
      <c r="A35" s="3" t="s">
        <v>10</v>
      </c>
      <c r="B35" s="3" t="s">
        <v>11</v>
      </c>
      <c r="C35" s="4" t="s">
        <v>12</v>
      </c>
      <c r="D35" s="25" t="s">
        <v>1534</v>
      </c>
      <c r="E35" s="29" t="s">
        <v>616</v>
      </c>
      <c r="F35" s="29"/>
      <c r="G35" s="28" t="s">
        <v>488</v>
      </c>
      <c r="H35" s="28"/>
      <c r="I35" s="25"/>
      <c r="J35" s="28"/>
      <c r="K35" s="28" t="s">
        <v>487</v>
      </c>
      <c r="L35" s="3"/>
      <c r="M35" s="3" t="s">
        <v>629</v>
      </c>
      <c r="N35" s="3"/>
      <c r="O35" s="29" t="s">
        <v>489</v>
      </c>
      <c r="P35" s="3"/>
      <c r="Q35" s="27" t="s">
        <v>12</v>
      </c>
      <c r="R35" s="31" t="s">
        <v>618</v>
      </c>
      <c r="S35" s="32">
        <v>3372424.65</v>
      </c>
      <c r="T35" s="6">
        <v>0</v>
      </c>
      <c r="U35" s="6"/>
      <c r="V35" s="6">
        <v>1.038848</v>
      </c>
      <c r="W35" s="3"/>
      <c r="X35" s="6">
        <v>1.063102</v>
      </c>
      <c r="Y35" s="3">
        <v>-2.281437E-2</v>
      </c>
      <c r="Z35" s="6">
        <v>1.064516</v>
      </c>
      <c r="AA35" s="7"/>
      <c r="AB35" s="6">
        <v>0</v>
      </c>
      <c r="AC35" s="6">
        <v>0</v>
      </c>
      <c r="AD35" s="6">
        <v>3372424.65</v>
      </c>
      <c r="AE35" s="32">
        <v>3372424.65</v>
      </c>
      <c r="AF35" s="6">
        <v>-86563.4</v>
      </c>
      <c r="AG35" s="33">
        <v>-83603.820000000007</v>
      </c>
      <c r="AH35" s="33">
        <v>-83603.820000000007</v>
      </c>
      <c r="AI35" s="33">
        <v>0</v>
      </c>
      <c r="AJ35" s="6">
        <v>-83603.820000000007</v>
      </c>
      <c r="AK35" s="6">
        <v>-79095.350000000006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-86563.4</v>
      </c>
      <c r="AS35" s="6">
        <v>-83603.820000000007</v>
      </c>
      <c r="AT35" s="7">
        <v>-1.1999999999999999E-3</v>
      </c>
      <c r="AU35" s="7">
        <v>-1.0882299999999999E-3</v>
      </c>
      <c r="AV35" s="7">
        <v>0</v>
      </c>
      <c r="AW35" s="7">
        <v>0</v>
      </c>
      <c r="AX35" s="7">
        <v>-1.0882299999999999E-3</v>
      </c>
      <c r="AY35" s="3"/>
      <c r="AZ35" s="18"/>
      <c r="BA35" s="5"/>
      <c r="BB35" s="5" t="s">
        <v>40</v>
      </c>
      <c r="BC35" s="5"/>
      <c r="BD35" s="5" t="s">
        <v>620</v>
      </c>
      <c r="BE35" s="5"/>
      <c r="BF35" s="5" t="s">
        <v>488</v>
      </c>
      <c r="BG35" s="5" t="s">
        <v>221</v>
      </c>
      <c r="BH35" s="18" t="s">
        <v>463</v>
      </c>
      <c r="BI35" s="18" t="s">
        <v>463</v>
      </c>
      <c r="BJ35" s="18" t="s">
        <v>213</v>
      </c>
      <c r="BK35" s="18"/>
      <c r="BL35" s="23">
        <f t="shared" si="5"/>
        <v>-83603.820000000007</v>
      </c>
      <c r="BM35" s="18" t="s">
        <v>1509</v>
      </c>
      <c r="BN35" s="74">
        <f t="shared" si="2"/>
        <v>78</v>
      </c>
      <c r="BO35" s="72" t="str">
        <f t="shared" si="3"/>
        <v>1 - 3 Months</v>
      </c>
      <c r="BP35" s="18"/>
      <c r="BQ35" s="18"/>
      <c r="BR35" s="18"/>
      <c r="BS35" s="18"/>
      <c r="BX35" s="45"/>
      <c r="BZ35" s="45"/>
    </row>
    <row r="36" spans="1:78" ht="13.05" customHeight="1" x14ac:dyDescent="0.3">
      <c r="A36" s="3" t="s">
        <v>10</v>
      </c>
      <c r="B36" s="3" t="s">
        <v>11</v>
      </c>
      <c r="C36" s="4" t="s">
        <v>12</v>
      </c>
      <c r="D36" s="25" t="s">
        <v>1534</v>
      </c>
      <c r="E36" s="29" t="s">
        <v>616</v>
      </c>
      <c r="F36" s="29"/>
      <c r="G36" s="28" t="s">
        <v>515</v>
      </c>
      <c r="H36" s="28"/>
      <c r="I36" s="25"/>
      <c r="J36" s="28"/>
      <c r="K36" s="28" t="s">
        <v>514</v>
      </c>
      <c r="L36" s="3"/>
      <c r="M36" s="3" t="s">
        <v>630</v>
      </c>
      <c r="N36" s="3"/>
      <c r="O36" s="29" t="s">
        <v>516</v>
      </c>
      <c r="P36" s="3"/>
      <c r="Q36" s="27" t="s">
        <v>216</v>
      </c>
      <c r="R36" s="31" t="s">
        <v>618</v>
      </c>
      <c r="S36" s="32">
        <v>-8000</v>
      </c>
      <c r="T36" s="6">
        <v>0</v>
      </c>
      <c r="U36" s="6"/>
      <c r="V36" s="6">
        <v>0.830704</v>
      </c>
      <c r="W36" s="3"/>
      <c r="X36" s="6">
        <v>0.83496300000000001</v>
      </c>
      <c r="Y36" s="3">
        <v>-5.1008199999999998E-3</v>
      </c>
      <c r="Z36" s="6">
        <v>0.83694599999999997</v>
      </c>
      <c r="AA36" s="7"/>
      <c r="AB36" s="6">
        <v>0</v>
      </c>
      <c r="AC36" s="6">
        <v>0</v>
      </c>
      <c r="AD36" s="6">
        <v>-8000</v>
      </c>
      <c r="AE36" s="32">
        <v>-9558.56</v>
      </c>
      <c r="AF36" s="6">
        <v>0</v>
      </c>
      <c r="AG36" s="33"/>
      <c r="AH36" s="33"/>
      <c r="AI36" s="33">
        <v>0</v>
      </c>
      <c r="AJ36" s="6"/>
      <c r="AK36" s="6"/>
      <c r="AL36" s="6"/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7">
        <v>0</v>
      </c>
      <c r="AU36" s="7"/>
      <c r="AV36" s="7"/>
      <c r="AW36" s="7">
        <v>0</v>
      </c>
      <c r="AX36" s="7"/>
      <c r="AY36" s="3"/>
      <c r="AZ36" s="18"/>
      <c r="BA36" s="5"/>
      <c r="BB36" s="5" t="s">
        <v>619</v>
      </c>
      <c r="BC36" s="5"/>
      <c r="BD36" s="5" t="s">
        <v>620</v>
      </c>
      <c r="BE36" s="5"/>
      <c r="BF36" s="5" t="s">
        <v>515</v>
      </c>
      <c r="BG36" s="5" t="s">
        <v>221</v>
      </c>
      <c r="BH36" s="18" t="s">
        <v>463</v>
      </c>
      <c r="BI36" s="18" t="s">
        <v>463</v>
      </c>
      <c r="BJ36" s="18" t="s">
        <v>213</v>
      </c>
      <c r="BK36" s="18"/>
      <c r="BL36" s="23">
        <f t="shared" si="5"/>
        <v>0</v>
      </c>
      <c r="BM36" s="18" t="s">
        <v>1510</v>
      </c>
      <c r="BN36" s="74">
        <f t="shared" si="2"/>
        <v>78</v>
      </c>
      <c r="BO36" s="72" t="str">
        <f t="shared" si="3"/>
        <v>1 - 3 Months</v>
      </c>
      <c r="BP36" s="18"/>
      <c r="BQ36" s="18"/>
      <c r="BR36" s="18"/>
      <c r="BS36" s="18"/>
    </row>
    <row r="37" spans="1:78" ht="13.05" customHeight="1" x14ac:dyDescent="0.3">
      <c r="A37" s="3" t="s">
        <v>10</v>
      </c>
      <c r="B37" s="3" t="s">
        <v>11</v>
      </c>
      <c r="C37" s="4" t="s">
        <v>12</v>
      </c>
      <c r="D37" s="25" t="s">
        <v>1534</v>
      </c>
      <c r="E37" s="29" t="s">
        <v>616</v>
      </c>
      <c r="F37" s="29"/>
      <c r="G37" s="28" t="s">
        <v>515</v>
      </c>
      <c r="H37" s="28"/>
      <c r="I37" s="25"/>
      <c r="J37" s="28"/>
      <c r="K37" s="28" t="s">
        <v>514</v>
      </c>
      <c r="L37" s="3"/>
      <c r="M37" s="3" t="s">
        <v>630</v>
      </c>
      <c r="N37" s="3"/>
      <c r="O37" s="29" t="s">
        <v>516</v>
      </c>
      <c r="P37" s="3"/>
      <c r="Q37" s="27" t="s">
        <v>12</v>
      </c>
      <c r="R37" s="31" t="s">
        <v>618</v>
      </c>
      <c r="S37" s="32">
        <v>9558.56</v>
      </c>
      <c r="T37" s="6">
        <v>0</v>
      </c>
      <c r="U37" s="6"/>
      <c r="V37" s="6">
        <v>0.830704</v>
      </c>
      <c r="W37" s="3"/>
      <c r="X37" s="6">
        <v>0.83496300000000001</v>
      </c>
      <c r="Y37" s="3">
        <v>-5.1008199999999998E-3</v>
      </c>
      <c r="Z37" s="6">
        <v>0.83694599999999997</v>
      </c>
      <c r="AA37" s="7"/>
      <c r="AB37" s="6">
        <v>0</v>
      </c>
      <c r="AC37" s="6">
        <v>0</v>
      </c>
      <c r="AD37" s="6">
        <v>9558.56</v>
      </c>
      <c r="AE37" s="32">
        <v>9558.56</v>
      </c>
      <c r="AF37" s="6">
        <v>-59.67</v>
      </c>
      <c r="AG37" s="33">
        <v>-72.13</v>
      </c>
      <c r="AH37" s="33">
        <v>-72.13</v>
      </c>
      <c r="AI37" s="33">
        <v>0</v>
      </c>
      <c r="AJ37" s="6">
        <v>-72.13</v>
      </c>
      <c r="AK37" s="6">
        <v>-49.3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-59.67</v>
      </c>
      <c r="AS37" s="6">
        <v>-72.13</v>
      </c>
      <c r="AT37" s="7">
        <v>0</v>
      </c>
      <c r="AU37" s="7">
        <v>-6.7999999999999995E-7</v>
      </c>
      <c r="AV37" s="7">
        <v>0</v>
      </c>
      <c r="AW37" s="7">
        <v>0</v>
      </c>
      <c r="AX37" s="7">
        <v>-6.7999999999999995E-7</v>
      </c>
      <c r="AY37" s="3"/>
      <c r="AZ37" s="18"/>
      <c r="BA37" s="5"/>
      <c r="BB37" s="5" t="s">
        <v>40</v>
      </c>
      <c r="BC37" s="5"/>
      <c r="BD37" s="5" t="s">
        <v>620</v>
      </c>
      <c r="BE37" s="5"/>
      <c r="BF37" s="5" t="s">
        <v>515</v>
      </c>
      <c r="BG37" s="5" t="s">
        <v>221</v>
      </c>
      <c r="BH37" s="18" t="s">
        <v>463</v>
      </c>
      <c r="BI37" s="18" t="s">
        <v>463</v>
      </c>
      <c r="BJ37" s="18" t="s">
        <v>213</v>
      </c>
      <c r="BK37" s="18"/>
      <c r="BL37" s="23">
        <f t="shared" si="5"/>
        <v>-72.13</v>
      </c>
      <c r="BM37" s="18" t="s">
        <v>1509</v>
      </c>
      <c r="BN37" s="74">
        <f t="shared" si="2"/>
        <v>78</v>
      </c>
      <c r="BO37" s="72" t="str">
        <f t="shared" si="3"/>
        <v>1 - 3 Months</v>
      </c>
      <c r="BP37" s="18"/>
      <c r="BQ37" s="18"/>
      <c r="BR37" s="18"/>
      <c r="BS37" s="18"/>
    </row>
    <row r="38" spans="1:78" ht="13.05" customHeight="1" x14ac:dyDescent="0.3">
      <c r="A38" s="3" t="s">
        <v>10</v>
      </c>
      <c r="B38" s="3" t="s">
        <v>11</v>
      </c>
      <c r="C38" s="4" t="s">
        <v>12</v>
      </c>
      <c r="D38" s="25" t="s">
        <v>1534</v>
      </c>
      <c r="E38" s="29" t="s">
        <v>616</v>
      </c>
      <c r="F38" s="29"/>
      <c r="G38" s="28" t="s">
        <v>485</v>
      </c>
      <c r="H38" s="28"/>
      <c r="I38" s="25"/>
      <c r="J38" s="28"/>
      <c r="K38" s="28" t="s">
        <v>484</v>
      </c>
      <c r="L38" s="3"/>
      <c r="M38" s="3" t="s">
        <v>631</v>
      </c>
      <c r="N38" s="3"/>
      <c r="O38" s="29" t="s">
        <v>486</v>
      </c>
      <c r="P38" s="3"/>
      <c r="Q38" s="27" t="s">
        <v>217</v>
      </c>
      <c r="R38" s="31" t="s">
        <v>618</v>
      </c>
      <c r="S38" s="32">
        <v>-3590000</v>
      </c>
      <c r="T38" s="6">
        <v>0</v>
      </c>
      <c r="U38" s="6"/>
      <c r="V38" s="6">
        <v>1.038848</v>
      </c>
      <c r="W38" s="3"/>
      <c r="X38" s="6">
        <v>1.063102</v>
      </c>
      <c r="Y38" s="3">
        <v>-2.281437E-2</v>
      </c>
      <c r="Z38" s="6">
        <v>1.0598350000000001</v>
      </c>
      <c r="AA38" s="7"/>
      <c r="AB38" s="6">
        <v>0</v>
      </c>
      <c r="AC38" s="6">
        <v>0</v>
      </c>
      <c r="AD38" s="6">
        <v>-3590000</v>
      </c>
      <c r="AE38" s="32">
        <v>-3387319.72</v>
      </c>
      <c r="AF38" s="6">
        <v>0</v>
      </c>
      <c r="AG38" s="33"/>
      <c r="AH38" s="33"/>
      <c r="AI38" s="33">
        <v>0</v>
      </c>
      <c r="AJ38" s="6"/>
      <c r="AK38" s="6"/>
      <c r="AL38" s="6"/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7">
        <v>0</v>
      </c>
      <c r="AU38" s="7"/>
      <c r="AV38" s="7"/>
      <c r="AW38" s="7">
        <v>0</v>
      </c>
      <c r="AX38" s="7"/>
      <c r="AY38" s="3"/>
      <c r="AZ38" s="18"/>
      <c r="BA38" s="5"/>
      <c r="BB38" s="5" t="s">
        <v>619</v>
      </c>
      <c r="BC38" s="5"/>
      <c r="BD38" s="5" t="s">
        <v>620</v>
      </c>
      <c r="BE38" s="5"/>
      <c r="BF38" s="5" t="s">
        <v>485</v>
      </c>
      <c r="BG38" s="5" t="s">
        <v>221</v>
      </c>
      <c r="BH38" s="18" t="s">
        <v>463</v>
      </c>
      <c r="BI38" s="18" t="s">
        <v>463</v>
      </c>
      <c r="BJ38" s="18" t="s">
        <v>213</v>
      </c>
      <c r="BK38" s="18"/>
      <c r="BL38" s="23">
        <f t="shared" si="5"/>
        <v>0</v>
      </c>
      <c r="BM38" s="18" t="s">
        <v>1510</v>
      </c>
      <c r="BN38" s="74">
        <f t="shared" si="2"/>
        <v>78</v>
      </c>
      <c r="BO38" s="72" t="str">
        <f t="shared" si="3"/>
        <v>1 - 3 Months</v>
      </c>
      <c r="BP38" s="18"/>
      <c r="BQ38" s="18"/>
      <c r="BR38" s="18"/>
      <c r="BS38" s="18"/>
      <c r="BU38" s="27" t="s">
        <v>12</v>
      </c>
      <c r="BW38" t="s">
        <v>1582</v>
      </c>
      <c r="BX38" s="75">
        <f>SUMIFS(BL:BL,BM:BM,"Long",Q:Q,BU38)</f>
        <v>42960892.590000004</v>
      </c>
      <c r="BY38" t="s">
        <v>1585</v>
      </c>
      <c r="BZ38" s="75">
        <f>SUMIFS(BL:BL,BM:BM,"Short",Q:Q,BU38)</f>
        <v>-1097898.1400000001</v>
      </c>
    </row>
    <row r="39" spans="1:78" ht="13.05" customHeight="1" x14ac:dyDescent="0.3">
      <c r="A39" s="3" t="s">
        <v>10</v>
      </c>
      <c r="B39" s="3" t="s">
        <v>11</v>
      </c>
      <c r="C39" s="4" t="s">
        <v>12</v>
      </c>
      <c r="D39" s="25" t="s">
        <v>1534</v>
      </c>
      <c r="E39" s="29" t="s">
        <v>616</v>
      </c>
      <c r="F39" s="29"/>
      <c r="G39" s="28" t="s">
        <v>485</v>
      </c>
      <c r="H39" s="28"/>
      <c r="I39" s="25"/>
      <c r="J39" s="28"/>
      <c r="K39" s="28" t="s">
        <v>484</v>
      </c>
      <c r="L39" s="3"/>
      <c r="M39" s="3" t="s">
        <v>631</v>
      </c>
      <c r="N39" s="3"/>
      <c r="O39" s="29" t="s">
        <v>486</v>
      </c>
      <c r="P39" s="3"/>
      <c r="Q39" s="27" t="s">
        <v>12</v>
      </c>
      <c r="R39" s="31" t="s">
        <v>618</v>
      </c>
      <c r="S39" s="32">
        <v>3387319.72</v>
      </c>
      <c r="T39" s="6">
        <v>0</v>
      </c>
      <c r="U39" s="6"/>
      <c r="V39" s="6">
        <v>1.038848</v>
      </c>
      <c r="W39" s="3"/>
      <c r="X39" s="6">
        <v>1.063102</v>
      </c>
      <c r="Y39" s="3">
        <v>-2.281437E-2</v>
      </c>
      <c r="Z39" s="6">
        <v>1.0598350000000001</v>
      </c>
      <c r="AA39" s="7"/>
      <c r="AB39" s="6">
        <v>0</v>
      </c>
      <c r="AC39" s="6">
        <v>0</v>
      </c>
      <c r="AD39" s="6">
        <v>3387319.72</v>
      </c>
      <c r="AE39" s="32">
        <v>3387319.72</v>
      </c>
      <c r="AF39" s="6">
        <v>-71089.679999999993</v>
      </c>
      <c r="AG39" s="33">
        <v>-68659.149999999994</v>
      </c>
      <c r="AH39" s="33">
        <v>-68659.149999999994</v>
      </c>
      <c r="AI39" s="33">
        <v>0</v>
      </c>
      <c r="AJ39" s="6">
        <v>-68659.149999999994</v>
      </c>
      <c r="AK39" s="6">
        <v>-79121.820000000007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-71089.679999999993</v>
      </c>
      <c r="AS39" s="6">
        <v>-68659.149999999994</v>
      </c>
      <c r="AT39" s="7">
        <v>-1E-3</v>
      </c>
      <c r="AU39" s="7">
        <v>-1.08859E-3</v>
      </c>
      <c r="AV39" s="7">
        <v>0</v>
      </c>
      <c r="AW39" s="7">
        <v>0</v>
      </c>
      <c r="AX39" s="7">
        <v>-1.08859E-3</v>
      </c>
      <c r="AY39" s="3"/>
      <c r="AZ39" s="18"/>
      <c r="BA39" s="5"/>
      <c r="BB39" s="5" t="s">
        <v>40</v>
      </c>
      <c r="BC39" s="5"/>
      <c r="BD39" s="5" t="s">
        <v>620</v>
      </c>
      <c r="BE39" s="5"/>
      <c r="BF39" s="5" t="s">
        <v>485</v>
      </c>
      <c r="BG39" s="5" t="s">
        <v>221</v>
      </c>
      <c r="BH39" s="18" t="s">
        <v>463</v>
      </c>
      <c r="BI39" s="18" t="s">
        <v>463</v>
      </c>
      <c r="BJ39" s="18" t="s">
        <v>213</v>
      </c>
      <c r="BK39" s="18"/>
      <c r="BL39" s="23">
        <f t="shared" si="5"/>
        <v>-68659.149999999994</v>
      </c>
      <c r="BM39" s="18" t="s">
        <v>1509</v>
      </c>
      <c r="BN39" s="74">
        <f t="shared" si="2"/>
        <v>78</v>
      </c>
      <c r="BO39" s="72" t="str">
        <f t="shared" si="3"/>
        <v>1 - 3 Months</v>
      </c>
      <c r="BP39" s="18"/>
      <c r="BQ39" s="18"/>
      <c r="BR39" s="18"/>
      <c r="BS39" s="18"/>
      <c r="BU39" s="27" t="s">
        <v>216</v>
      </c>
      <c r="BW39" t="s">
        <v>1583</v>
      </c>
      <c r="BX39" s="75">
        <f>SUMIFS(BL:BL,BM:BM,"Long",Q:Q,BU39)</f>
        <v>0</v>
      </c>
      <c r="BY39" t="s">
        <v>1586</v>
      </c>
      <c r="BZ39" s="75">
        <f t="shared" ref="BZ39:BZ40" si="6">SUMIFS(BL:BL,BM:BM,"Short",Q:Q,BU39)</f>
        <v>0</v>
      </c>
    </row>
    <row r="40" spans="1:78" ht="13.05" customHeight="1" x14ac:dyDescent="0.3">
      <c r="A40" s="3" t="s">
        <v>10</v>
      </c>
      <c r="B40" s="3" t="s">
        <v>11</v>
      </c>
      <c r="C40" s="4" t="s">
        <v>12</v>
      </c>
      <c r="D40" s="25" t="s">
        <v>1534</v>
      </c>
      <c r="E40" s="29" t="s">
        <v>616</v>
      </c>
      <c r="F40" s="29"/>
      <c r="G40" s="28" t="s">
        <v>476</v>
      </c>
      <c r="H40" s="28"/>
      <c r="I40" s="25"/>
      <c r="J40" s="28"/>
      <c r="K40" s="28" t="s">
        <v>475</v>
      </c>
      <c r="L40" s="3"/>
      <c r="M40" s="3" t="s">
        <v>632</v>
      </c>
      <c r="N40" s="3"/>
      <c r="O40" s="29" t="s">
        <v>477</v>
      </c>
      <c r="P40" s="3"/>
      <c r="Q40" s="27" t="s">
        <v>12</v>
      </c>
      <c r="R40" s="31" t="s">
        <v>618</v>
      </c>
      <c r="S40" s="32">
        <v>-47312.27</v>
      </c>
      <c r="T40" s="6">
        <v>-47312.27</v>
      </c>
      <c r="U40" s="6"/>
      <c r="V40" s="6">
        <v>1.038848</v>
      </c>
      <c r="W40" s="3"/>
      <c r="X40" s="6"/>
      <c r="Y40" s="3"/>
      <c r="Z40" s="6">
        <v>0.946245</v>
      </c>
      <c r="AA40" s="7"/>
      <c r="AB40" s="6">
        <v>0</v>
      </c>
      <c r="AC40" s="6">
        <v>0</v>
      </c>
      <c r="AD40" s="6">
        <v>-47312.27</v>
      </c>
      <c r="AE40" s="32">
        <v>-47312.27</v>
      </c>
      <c r="AF40" s="6">
        <v>0</v>
      </c>
      <c r="AG40" s="33"/>
      <c r="AH40" s="33"/>
      <c r="AI40" s="33">
        <v>0</v>
      </c>
      <c r="AJ40" s="6"/>
      <c r="AK40" s="6"/>
      <c r="AL40" s="6"/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7">
        <v>0</v>
      </c>
      <c r="AU40" s="7"/>
      <c r="AV40" s="7"/>
      <c r="AW40" s="7">
        <v>0</v>
      </c>
      <c r="AX40" s="7"/>
      <c r="AY40" s="3"/>
      <c r="AZ40" s="18"/>
      <c r="BA40" s="5"/>
      <c r="BB40" s="5" t="s">
        <v>619</v>
      </c>
      <c r="BC40" s="5"/>
      <c r="BD40" s="5" t="s">
        <v>620</v>
      </c>
      <c r="BE40" s="5"/>
      <c r="BF40" s="5" t="s">
        <v>476</v>
      </c>
      <c r="BG40" s="5" t="s">
        <v>221</v>
      </c>
      <c r="BH40" s="18" t="s">
        <v>463</v>
      </c>
      <c r="BI40" s="18" t="s">
        <v>463</v>
      </c>
      <c r="BJ40" s="18" t="s">
        <v>213</v>
      </c>
      <c r="BK40" s="18"/>
      <c r="BL40" s="23">
        <f t="shared" si="5"/>
        <v>0</v>
      </c>
      <c r="BM40" s="18" t="s">
        <v>1510</v>
      </c>
      <c r="BN40" s="74">
        <f t="shared" si="2"/>
        <v>78</v>
      </c>
      <c r="BO40" s="72" t="str">
        <f t="shared" si="3"/>
        <v>1 - 3 Months</v>
      </c>
      <c r="BP40" s="18"/>
      <c r="BQ40" s="18"/>
      <c r="BR40" s="18"/>
      <c r="BS40" s="18"/>
      <c r="BU40" s="27" t="s">
        <v>217</v>
      </c>
      <c r="BW40" t="s">
        <v>1584</v>
      </c>
      <c r="BX40" s="75">
        <f>SUMIFS(BL:BL,BM:BM,"Long",Q:Q,BU40)</f>
        <v>25500107.679999996</v>
      </c>
      <c r="BY40" t="s">
        <v>1587</v>
      </c>
      <c r="BZ40" s="75">
        <f t="shared" si="6"/>
        <v>0</v>
      </c>
    </row>
    <row r="41" spans="1:78" ht="13.05" customHeight="1" x14ac:dyDescent="0.3">
      <c r="A41" s="3" t="s">
        <v>10</v>
      </c>
      <c r="B41" s="3" t="s">
        <v>11</v>
      </c>
      <c r="C41" s="4" t="s">
        <v>12</v>
      </c>
      <c r="D41" s="25" t="s">
        <v>1534</v>
      </c>
      <c r="E41" s="29" t="s">
        <v>616</v>
      </c>
      <c r="F41" s="29"/>
      <c r="G41" s="28" t="s">
        <v>476</v>
      </c>
      <c r="H41" s="28"/>
      <c r="I41" s="25"/>
      <c r="J41" s="28"/>
      <c r="K41" s="28" t="s">
        <v>475</v>
      </c>
      <c r="L41" s="3"/>
      <c r="M41" s="3" t="s">
        <v>632</v>
      </c>
      <c r="N41" s="3"/>
      <c r="O41" s="29" t="s">
        <v>477</v>
      </c>
      <c r="P41" s="3"/>
      <c r="Q41" s="27" t="s">
        <v>217</v>
      </c>
      <c r="R41" s="31" t="s">
        <v>618</v>
      </c>
      <c r="S41" s="32">
        <v>50000</v>
      </c>
      <c r="T41" s="6">
        <v>50000</v>
      </c>
      <c r="U41" s="6"/>
      <c r="V41" s="6">
        <v>1.038848</v>
      </c>
      <c r="W41" s="3"/>
      <c r="X41" s="6"/>
      <c r="Y41" s="3"/>
      <c r="Z41" s="6">
        <v>0.946245</v>
      </c>
      <c r="AA41" s="7"/>
      <c r="AB41" s="6">
        <v>0</v>
      </c>
      <c r="AC41" s="6">
        <v>0</v>
      </c>
      <c r="AD41" s="6">
        <v>50000</v>
      </c>
      <c r="AE41" s="32">
        <v>47312.27</v>
      </c>
      <c r="AF41" s="6">
        <v>817.97</v>
      </c>
      <c r="AG41" s="33">
        <v>817.97</v>
      </c>
      <c r="AH41" s="33">
        <v>817.97</v>
      </c>
      <c r="AI41" s="33">
        <v>0</v>
      </c>
      <c r="AJ41" s="6">
        <v>817.97</v>
      </c>
      <c r="AK41" s="6">
        <v>817.97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817.97</v>
      </c>
      <c r="AS41" s="6">
        <v>817.97</v>
      </c>
      <c r="AT41" s="7">
        <v>0</v>
      </c>
      <c r="AU41" s="7">
        <v>1.1250000000000001E-5</v>
      </c>
      <c r="AV41" s="7">
        <v>0</v>
      </c>
      <c r="AW41" s="7">
        <v>0</v>
      </c>
      <c r="AX41" s="7">
        <v>1.1250000000000001E-5</v>
      </c>
      <c r="AY41" s="3"/>
      <c r="AZ41" s="18"/>
      <c r="BA41" s="5"/>
      <c r="BB41" s="5" t="s">
        <v>40</v>
      </c>
      <c r="BC41" s="5"/>
      <c r="BD41" s="5" t="s">
        <v>620</v>
      </c>
      <c r="BE41" s="5"/>
      <c r="BF41" s="5" t="s">
        <v>476</v>
      </c>
      <c r="BG41" s="5" t="s">
        <v>221</v>
      </c>
      <c r="BH41" s="18" t="s">
        <v>463</v>
      </c>
      <c r="BI41" s="18" t="s">
        <v>463</v>
      </c>
      <c r="BJ41" s="18" t="s">
        <v>213</v>
      </c>
      <c r="BK41" s="18"/>
      <c r="BL41" s="23">
        <f t="shared" si="5"/>
        <v>817.97</v>
      </c>
      <c r="BM41" s="18" t="s">
        <v>1510</v>
      </c>
      <c r="BN41" s="74">
        <f t="shared" si="2"/>
        <v>78</v>
      </c>
      <c r="BO41" s="72" t="str">
        <f t="shared" si="3"/>
        <v>1 - 3 Months</v>
      </c>
      <c r="BP41" s="18"/>
      <c r="BQ41" s="18"/>
      <c r="BR41" s="18"/>
      <c r="BS41" s="18"/>
    </row>
    <row r="42" spans="1:78" ht="13.05" customHeight="1" x14ac:dyDescent="0.3">
      <c r="A42" s="10" t="s">
        <v>59</v>
      </c>
      <c r="B42" s="3"/>
      <c r="C42" s="4"/>
      <c r="D42" s="59" t="s">
        <v>1535</v>
      </c>
      <c r="E42" s="30" t="s">
        <v>616</v>
      </c>
      <c r="F42" s="29"/>
      <c r="G42" s="28"/>
      <c r="H42" s="28"/>
      <c r="I42" s="25"/>
      <c r="J42" s="28"/>
      <c r="K42" s="28"/>
      <c r="L42" s="3"/>
      <c r="M42" s="3"/>
      <c r="N42" s="3"/>
      <c r="O42" s="3"/>
      <c r="P42" s="3"/>
      <c r="Q42" s="4"/>
      <c r="R42" s="17"/>
      <c r="S42" s="6"/>
      <c r="T42" s="6"/>
      <c r="U42" s="6"/>
      <c r="V42" s="6"/>
      <c r="W42" s="3"/>
      <c r="X42" s="6"/>
      <c r="Y42" s="3"/>
      <c r="Z42" s="6"/>
      <c r="AA42" s="7"/>
      <c r="AB42" s="6"/>
      <c r="AC42" s="11">
        <v>0</v>
      </c>
      <c r="AD42" s="6"/>
      <c r="AE42" s="6"/>
      <c r="AF42" s="6"/>
      <c r="AG42" s="11">
        <v>-1039348.34</v>
      </c>
      <c r="AH42" s="6">
        <v>-1039348.34</v>
      </c>
      <c r="AI42" s="6">
        <v>0</v>
      </c>
      <c r="AJ42" s="11">
        <v>-1039348.34</v>
      </c>
      <c r="AK42" s="11">
        <v>-604710.63</v>
      </c>
      <c r="AL42" s="11">
        <v>0</v>
      </c>
      <c r="AM42" s="6"/>
      <c r="AN42" s="6"/>
      <c r="AO42" s="11">
        <v>0</v>
      </c>
      <c r="AP42" s="11">
        <v>0</v>
      </c>
      <c r="AQ42" s="6">
        <v>0</v>
      </c>
      <c r="AR42" s="6"/>
      <c r="AS42" s="11">
        <v>-1039348.34</v>
      </c>
      <c r="AT42" s="12">
        <v>-1.4500000000000001E-2</v>
      </c>
      <c r="AU42" s="12">
        <v>-8.31988E-3</v>
      </c>
      <c r="AV42" s="12">
        <v>0</v>
      </c>
      <c r="AW42" s="12">
        <v>0</v>
      </c>
      <c r="AX42" s="12">
        <v>-8.31988E-3</v>
      </c>
      <c r="AY42" s="3"/>
      <c r="AZ42" s="18"/>
      <c r="BA42" s="5"/>
      <c r="BB42" s="5"/>
      <c r="BC42" s="5"/>
      <c r="BD42" s="5"/>
      <c r="BE42" s="5"/>
      <c r="BF42" s="5"/>
      <c r="BG42" s="5"/>
      <c r="BH42" s="18"/>
      <c r="BI42" s="18"/>
      <c r="BJ42" s="18"/>
      <c r="BK42" s="18"/>
    </row>
    <row r="43" spans="1:78" ht="13.05" customHeight="1" x14ac:dyDescent="0.3">
      <c r="A43" s="3"/>
      <c r="B43" s="3"/>
      <c r="C43" s="4"/>
      <c r="D43" s="25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4"/>
      <c r="R43" s="17"/>
      <c r="S43" s="6"/>
      <c r="T43" s="6"/>
      <c r="U43" s="6"/>
      <c r="V43" s="6"/>
      <c r="W43" s="3"/>
      <c r="X43" s="6"/>
      <c r="Y43" s="3"/>
      <c r="Z43" s="6"/>
      <c r="AA43" s="7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7"/>
      <c r="AU43" s="7"/>
      <c r="AV43" s="7"/>
      <c r="AW43" s="7"/>
      <c r="AX43" s="7"/>
      <c r="AY43" s="3"/>
      <c r="AZ43" s="18"/>
      <c r="BA43" s="5"/>
      <c r="BB43" s="5"/>
      <c r="BC43" s="5"/>
      <c r="BD43" s="5"/>
      <c r="BE43" s="5"/>
      <c r="BF43" s="5"/>
      <c r="BG43" s="5"/>
      <c r="BH43" s="18"/>
      <c r="BI43" s="18"/>
      <c r="BJ43" s="18"/>
      <c r="BK43" s="18"/>
    </row>
    <row r="44" spans="1:78" ht="13.05" customHeight="1" x14ac:dyDescent="0.3">
      <c r="A44" s="3"/>
      <c r="B44" s="3"/>
      <c r="C44" s="4"/>
      <c r="D44" s="25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4"/>
      <c r="R44" s="17"/>
      <c r="S44" s="6"/>
      <c r="T44" s="6"/>
      <c r="U44" s="6"/>
      <c r="V44" s="6"/>
      <c r="W44" s="3"/>
      <c r="X44" s="6"/>
      <c r="Y44" s="3"/>
      <c r="Z44" s="6"/>
      <c r="AA44" s="7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7"/>
      <c r="AU44" s="7"/>
      <c r="AV44" s="7"/>
      <c r="AW44" s="7"/>
      <c r="AX44" s="7"/>
      <c r="AY44" s="3"/>
      <c r="AZ44" s="18"/>
      <c r="BA44" s="5"/>
      <c r="BB44" s="5"/>
      <c r="BC44" s="5"/>
      <c r="BD44" s="5"/>
      <c r="BE44" s="5"/>
      <c r="BF44" s="5"/>
      <c r="BG44" s="5"/>
      <c r="BH44" s="18"/>
      <c r="BI44" s="18"/>
      <c r="BJ44" s="18"/>
      <c r="BK44" s="18"/>
    </row>
    <row r="45" spans="1:78" ht="13.05" customHeight="1" x14ac:dyDescent="0.3">
      <c r="A45" s="10" t="s">
        <v>201</v>
      </c>
      <c r="B45" s="3"/>
      <c r="C45" s="4"/>
      <c r="D45" s="25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4"/>
      <c r="R45" s="17"/>
      <c r="S45" s="6"/>
      <c r="T45" s="6"/>
      <c r="U45" s="6"/>
      <c r="V45" s="6"/>
      <c r="W45" s="3"/>
      <c r="X45" s="6"/>
      <c r="Y45" s="3"/>
      <c r="Z45" s="6"/>
      <c r="AA45" s="7"/>
      <c r="AB45" s="6"/>
      <c r="AC45" s="11">
        <v>0</v>
      </c>
      <c r="AD45" s="6"/>
      <c r="AE45" s="6"/>
      <c r="AF45" s="6"/>
      <c r="AG45" s="11">
        <v>67363102.129999995</v>
      </c>
      <c r="AH45" s="6">
        <v>-35469363.079999998</v>
      </c>
      <c r="AI45" s="6">
        <v>6641092.21</v>
      </c>
      <c r="AJ45" s="11">
        <v>-28828270.870000001</v>
      </c>
      <c r="AK45" s="11">
        <v>-730098.97</v>
      </c>
      <c r="AL45" s="11">
        <v>1654.78</v>
      </c>
      <c r="AM45" s="6"/>
      <c r="AN45" s="6"/>
      <c r="AO45" s="11">
        <v>53729.599999999999</v>
      </c>
      <c r="AP45" s="11">
        <v>0</v>
      </c>
      <c r="AQ45" s="11">
        <v>898440.89</v>
      </c>
      <c r="AR45" s="6"/>
      <c r="AS45" s="11">
        <v>67553406.239999995</v>
      </c>
      <c r="AT45" s="12">
        <v>0.93779999999999997</v>
      </c>
      <c r="AU45" s="12">
        <v>-1.004503E-2</v>
      </c>
      <c r="AV45" s="12">
        <v>2.2770000000000001E-5</v>
      </c>
      <c r="AW45" s="12">
        <v>7.3923999999999995E-4</v>
      </c>
      <c r="AX45" s="12">
        <v>-9.2830299999999994E-3</v>
      </c>
      <c r="AY45" s="3"/>
      <c r="AZ45" s="18"/>
      <c r="BA45" s="5"/>
      <c r="BB45" s="5"/>
      <c r="BC45" s="5"/>
      <c r="BD45" s="5"/>
      <c r="BE45" s="5"/>
      <c r="BF45" s="5"/>
      <c r="BG45" s="5"/>
      <c r="BH45" s="18"/>
      <c r="BI45" s="18"/>
      <c r="BJ45" s="18"/>
      <c r="BK45" s="18"/>
    </row>
    <row r="49" spans="1:1" x14ac:dyDescent="0.3">
      <c r="A49" t="s">
        <v>1511</v>
      </c>
    </row>
    <row r="50" spans="1:1" x14ac:dyDescent="0.3">
      <c r="A50" t="s">
        <v>1512</v>
      </c>
    </row>
    <row r="51" spans="1:1" x14ac:dyDescent="0.3">
      <c r="A51" t="s">
        <v>1513</v>
      </c>
    </row>
  </sheetData>
  <autoFilter ref="M1:BM42"/>
  <mergeCells count="3">
    <mergeCell ref="BW2:BZ2"/>
    <mergeCell ref="BW11:BZ11"/>
    <mergeCell ref="BW19:BZ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77"/>
  <sheetViews>
    <sheetView workbookViewId="0">
      <selection activeCell="E15" sqref="E15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13.6640625" bestFit="1" customWidth="1"/>
    <col min="5" max="5" width="20.109375" style="62" customWidth="1"/>
    <col min="6" max="7" width="28" customWidth="1"/>
    <col min="8" max="8" width="14" customWidth="1"/>
    <col min="9" max="9" width="28" customWidth="1"/>
    <col min="10" max="11" width="14" customWidth="1"/>
    <col min="12" max="12" width="28" customWidth="1"/>
    <col min="13" max="13" width="7.5546875" customWidth="1"/>
    <col min="14" max="14" width="8.44140625" customWidth="1"/>
    <col min="15" max="15" width="28" customWidth="1"/>
  </cols>
  <sheetData>
    <row r="1" spans="1:14" ht="36" customHeight="1" x14ac:dyDescent="0.3">
      <c r="A1" s="1" t="s">
        <v>0</v>
      </c>
      <c r="B1" s="1" t="s">
        <v>1</v>
      </c>
      <c r="C1" s="1" t="s">
        <v>19</v>
      </c>
      <c r="D1" s="2" t="s">
        <v>52</v>
      </c>
      <c r="E1" s="1" t="s">
        <v>1514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52</v>
      </c>
    </row>
    <row r="2" spans="1:14" ht="13.05" customHeight="1" x14ac:dyDescent="0.3">
      <c r="A2" s="3" t="s">
        <v>10</v>
      </c>
      <c r="B2" s="3" t="s">
        <v>11</v>
      </c>
      <c r="C2" s="4" t="s">
        <v>12</v>
      </c>
      <c r="D2" s="5" t="s">
        <v>56</v>
      </c>
      <c r="E2" s="4" t="s">
        <v>1517</v>
      </c>
      <c r="F2" s="3" t="s">
        <v>53</v>
      </c>
      <c r="G2" s="3" t="s">
        <v>54</v>
      </c>
      <c r="H2" s="6">
        <v>20871.34</v>
      </c>
      <c r="I2" s="7">
        <v>2.9E-4</v>
      </c>
      <c r="J2" s="6">
        <v>20871.34</v>
      </c>
      <c r="K2" s="6">
        <v>0</v>
      </c>
      <c r="L2" s="7">
        <v>0</v>
      </c>
      <c r="M2" s="5" t="s">
        <v>55</v>
      </c>
      <c r="N2" s="5" t="s">
        <v>56</v>
      </c>
    </row>
    <row r="3" spans="1:14" ht="13.05" customHeight="1" x14ac:dyDescent="0.3">
      <c r="A3" s="3" t="s">
        <v>10</v>
      </c>
      <c r="B3" s="3" t="s">
        <v>11</v>
      </c>
      <c r="C3" s="4" t="s">
        <v>12</v>
      </c>
      <c r="D3" s="47" t="s">
        <v>58</v>
      </c>
      <c r="E3" s="4" t="s">
        <v>1518</v>
      </c>
      <c r="F3" s="3" t="s">
        <v>53</v>
      </c>
      <c r="G3" s="3" t="s">
        <v>57</v>
      </c>
      <c r="H3" s="6">
        <v>-20871.34</v>
      </c>
      <c r="I3" s="7">
        <v>-2.9E-4</v>
      </c>
      <c r="J3" s="6">
        <v>-20871.34</v>
      </c>
      <c r="K3" s="6">
        <v>0</v>
      </c>
      <c r="L3" s="7">
        <v>0</v>
      </c>
      <c r="M3" s="5" t="s">
        <v>55</v>
      </c>
      <c r="N3" s="5" t="s">
        <v>58</v>
      </c>
    </row>
    <row r="4" spans="1:14" ht="13.05" customHeight="1" x14ac:dyDescent="0.3">
      <c r="A4" s="3" t="s">
        <v>59</v>
      </c>
      <c r="B4" s="3"/>
      <c r="C4" s="4"/>
      <c r="D4" s="5"/>
      <c r="E4" s="24" t="s">
        <v>1524</v>
      </c>
      <c r="F4" s="3" t="s">
        <v>53</v>
      </c>
      <c r="G4" s="3"/>
      <c r="H4" s="6">
        <v>0</v>
      </c>
      <c r="I4" s="7">
        <v>0</v>
      </c>
      <c r="J4" s="6">
        <v>0</v>
      </c>
      <c r="K4" s="6">
        <v>0</v>
      </c>
      <c r="L4" s="7">
        <v>0</v>
      </c>
      <c r="M4" s="5"/>
      <c r="N4" s="5"/>
    </row>
    <row r="5" spans="1:14" ht="13.05" customHeight="1" x14ac:dyDescent="0.3">
      <c r="A5" s="3" t="s">
        <v>10</v>
      </c>
      <c r="B5" s="3" t="s">
        <v>11</v>
      </c>
      <c r="C5" s="4" t="s">
        <v>12</v>
      </c>
      <c r="D5" s="5" t="s">
        <v>1604</v>
      </c>
      <c r="E5" s="4" t="s">
        <v>1519</v>
      </c>
      <c r="F5" s="3" t="s">
        <v>60</v>
      </c>
      <c r="G5" s="3" t="s">
        <v>61</v>
      </c>
      <c r="H5" s="6">
        <v>41619614</v>
      </c>
      <c r="I5" s="7">
        <v>0.577928</v>
      </c>
      <c r="J5" s="6">
        <v>46540964</v>
      </c>
      <c r="K5" s="6">
        <v>-4921350</v>
      </c>
      <c r="L5" s="7">
        <v>-6.7710000000000006E-2</v>
      </c>
      <c r="M5" s="5" t="s">
        <v>62</v>
      </c>
      <c r="N5" s="5" t="s">
        <v>63</v>
      </c>
    </row>
    <row r="6" spans="1:14" ht="13.05" customHeight="1" x14ac:dyDescent="0.3">
      <c r="A6" s="3" t="s">
        <v>10</v>
      </c>
      <c r="B6" s="3" t="s">
        <v>11</v>
      </c>
      <c r="C6" s="4" t="s">
        <v>12</v>
      </c>
      <c r="D6" s="5" t="s">
        <v>1603</v>
      </c>
      <c r="E6" s="4" t="s">
        <v>1520</v>
      </c>
      <c r="F6" s="3" t="s">
        <v>60</v>
      </c>
      <c r="G6" s="3" t="s">
        <v>64</v>
      </c>
      <c r="H6" s="49">
        <v>442837.7</v>
      </c>
      <c r="I6" s="7">
        <v>6.149E-3</v>
      </c>
      <c r="J6" s="6">
        <v>534436.31000000006</v>
      </c>
      <c r="K6" s="6">
        <v>-91598.61</v>
      </c>
      <c r="L6" s="7">
        <v>-1.2600000000000001E-3</v>
      </c>
      <c r="M6" s="5" t="s">
        <v>62</v>
      </c>
      <c r="N6" s="5" t="s">
        <v>65</v>
      </c>
    </row>
    <row r="7" spans="1:14" ht="13.05" customHeight="1" x14ac:dyDescent="0.3">
      <c r="A7" s="3" t="s">
        <v>10</v>
      </c>
      <c r="B7" s="3" t="s">
        <v>11</v>
      </c>
      <c r="C7" s="4" t="s">
        <v>12</v>
      </c>
      <c r="D7" s="5" t="s">
        <v>1603</v>
      </c>
      <c r="E7" s="4" t="s">
        <v>1521</v>
      </c>
      <c r="F7" s="3" t="s">
        <v>60</v>
      </c>
      <c r="G7" s="3" t="s">
        <v>66</v>
      </c>
      <c r="H7" s="49">
        <v>898440.89</v>
      </c>
      <c r="I7" s="7">
        <v>1.2475999999999999E-2</v>
      </c>
      <c r="J7" s="6">
        <v>924033.99</v>
      </c>
      <c r="K7" s="6">
        <v>-25593.1</v>
      </c>
      <c r="L7" s="7">
        <v>-3.5199999999999999E-4</v>
      </c>
      <c r="M7" s="5" t="s">
        <v>62</v>
      </c>
      <c r="N7" s="5" t="s">
        <v>67</v>
      </c>
    </row>
    <row r="8" spans="1:14" ht="13.05" customHeight="1" x14ac:dyDescent="0.3">
      <c r="A8" s="10" t="s">
        <v>59</v>
      </c>
      <c r="B8" s="3"/>
      <c r="C8" s="4"/>
      <c r="D8" s="5"/>
      <c r="E8" s="24" t="s">
        <v>1525</v>
      </c>
      <c r="F8" s="10" t="s">
        <v>60</v>
      </c>
      <c r="G8" s="3"/>
      <c r="H8" s="11">
        <v>42960892.590000004</v>
      </c>
      <c r="I8" s="12">
        <v>0.59655199999999997</v>
      </c>
      <c r="J8" s="11">
        <v>47999434.299999997</v>
      </c>
      <c r="K8" s="11">
        <v>-5038541.71</v>
      </c>
      <c r="L8" s="12">
        <v>-6.9322999999999996E-2</v>
      </c>
      <c r="M8" s="5"/>
      <c r="N8" s="5"/>
    </row>
    <row r="9" spans="1:14" ht="13.05" customHeight="1" x14ac:dyDescent="0.3">
      <c r="A9" s="3" t="s">
        <v>10</v>
      </c>
      <c r="B9" s="3" t="s">
        <v>11</v>
      </c>
      <c r="C9" s="4" t="s">
        <v>12</v>
      </c>
      <c r="D9" s="5" t="s">
        <v>1603</v>
      </c>
      <c r="E9" s="4" t="s">
        <v>1522</v>
      </c>
      <c r="F9" s="3" t="s">
        <v>68</v>
      </c>
      <c r="G9" s="3" t="s">
        <v>69</v>
      </c>
      <c r="H9" s="49">
        <v>50055067.57</v>
      </c>
      <c r="I9" s="7">
        <v>0.69506199999999996</v>
      </c>
      <c r="J9" s="6">
        <v>50055067.57</v>
      </c>
      <c r="K9" s="6">
        <v>0</v>
      </c>
      <c r="L9" s="7">
        <v>0</v>
      </c>
      <c r="M9" s="5" t="s">
        <v>70</v>
      </c>
      <c r="N9" s="5" t="s">
        <v>71</v>
      </c>
    </row>
    <row r="10" spans="1:14" ht="13.05" customHeight="1" x14ac:dyDescent="0.3">
      <c r="A10" s="3" t="s">
        <v>10</v>
      </c>
      <c r="B10" s="3" t="s">
        <v>11</v>
      </c>
      <c r="C10" s="4" t="s">
        <v>12</v>
      </c>
      <c r="D10" s="5" t="s">
        <v>73</v>
      </c>
      <c r="E10" s="4" t="s">
        <v>1523</v>
      </c>
      <c r="F10" s="3" t="s">
        <v>68</v>
      </c>
      <c r="G10" s="3" t="s">
        <v>72</v>
      </c>
      <c r="H10" s="6">
        <v>-29690218.640000001</v>
      </c>
      <c r="I10" s="7">
        <v>-0.412277</v>
      </c>
      <c r="J10" s="6">
        <v>-29485806.850000001</v>
      </c>
      <c r="K10" s="6">
        <v>-204411.79</v>
      </c>
      <c r="L10" s="7">
        <v>-2.8119999999999998E-3</v>
      </c>
      <c r="M10" s="5" t="s">
        <v>70</v>
      </c>
      <c r="N10" s="5" t="s">
        <v>73</v>
      </c>
    </row>
    <row r="11" spans="1:14" ht="13.05" customHeight="1" x14ac:dyDescent="0.3">
      <c r="A11" s="10" t="s">
        <v>59</v>
      </c>
      <c r="B11" s="3"/>
      <c r="C11" s="4"/>
      <c r="D11" s="5"/>
      <c r="E11" s="24" t="s">
        <v>1526</v>
      </c>
      <c r="F11" s="10" t="s">
        <v>68</v>
      </c>
      <c r="G11" s="3"/>
      <c r="H11" s="11">
        <v>20364848.93</v>
      </c>
      <c r="I11" s="12">
        <v>0.28278500000000001</v>
      </c>
      <c r="J11" s="11">
        <v>20569260.719999999</v>
      </c>
      <c r="K11" s="11">
        <v>-204411.79</v>
      </c>
      <c r="L11" s="12">
        <v>-2.8119999999999998E-3</v>
      </c>
      <c r="M11" s="5"/>
      <c r="N11" s="5"/>
    </row>
    <row r="12" spans="1:14" ht="13.05" customHeight="1" x14ac:dyDescent="0.3">
      <c r="A12" s="3" t="s">
        <v>10</v>
      </c>
      <c r="B12" s="3" t="s">
        <v>11</v>
      </c>
      <c r="C12" s="4" t="s">
        <v>12</v>
      </c>
      <c r="D12" s="5" t="s">
        <v>77</v>
      </c>
      <c r="E12" s="4" t="s">
        <v>1536</v>
      </c>
      <c r="F12" s="73" t="s">
        <v>74</v>
      </c>
      <c r="G12" s="3" t="s">
        <v>75</v>
      </c>
      <c r="H12" s="6">
        <v>-1039348.34</v>
      </c>
      <c r="I12" s="7">
        <v>-1.4432E-2</v>
      </c>
      <c r="J12" s="6">
        <v>-881851.09</v>
      </c>
      <c r="K12" s="6">
        <v>-157497.25</v>
      </c>
      <c r="L12" s="7">
        <v>-2.1670000000000001E-3</v>
      </c>
      <c r="M12" s="5" t="s">
        <v>76</v>
      </c>
      <c r="N12" s="5" t="s">
        <v>77</v>
      </c>
    </row>
    <row r="13" spans="1:14" ht="13.05" customHeight="1" x14ac:dyDescent="0.3">
      <c r="A13" s="10" t="s">
        <v>59</v>
      </c>
      <c r="B13" s="3"/>
      <c r="C13" s="4"/>
      <c r="D13" s="5"/>
      <c r="E13" s="24" t="s">
        <v>1533</v>
      </c>
      <c r="F13" s="10" t="s">
        <v>74</v>
      </c>
      <c r="G13" s="3"/>
      <c r="H13" s="11">
        <v>-1039348.34</v>
      </c>
      <c r="I13" s="12">
        <v>-1.4432E-2</v>
      </c>
      <c r="J13" s="11">
        <v>-881851.09</v>
      </c>
      <c r="K13" s="11">
        <v>-157497.25</v>
      </c>
      <c r="L13" s="12">
        <v>-2.1670000000000001E-3</v>
      </c>
      <c r="M13" s="5"/>
      <c r="N13" s="5"/>
    </row>
    <row r="14" spans="1:14" ht="13.05" customHeight="1" x14ac:dyDescent="0.3">
      <c r="A14" s="3" t="s">
        <v>10</v>
      </c>
      <c r="B14" s="3" t="s">
        <v>11</v>
      </c>
      <c r="C14" s="4" t="s">
        <v>12</v>
      </c>
      <c r="D14" s="5" t="s">
        <v>1605</v>
      </c>
      <c r="E14" s="4" t="s">
        <v>1537</v>
      </c>
      <c r="F14" s="3" t="s">
        <v>78</v>
      </c>
      <c r="G14" s="3" t="s">
        <v>79</v>
      </c>
      <c r="H14" s="48">
        <v>3582129.69</v>
      </c>
      <c r="I14" s="7">
        <v>4.9741E-2</v>
      </c>
      <c r="J14" s="6">
        <v>10515542.789999999</v>
      </c>
      <c r="K14" s="6">
        <v>-6933413.0999999996</v>
      </c>
      <c r="L14" s="7">
        <v>-9.5393000000000006E-2</v>
      </c>
      <c r="M14" s="5" t="s">
        <v>80</v>
      </c>
      <c r="N14" s="5" t="s">
        <v>81</v>
      </c>
    </row>
    <row r="15" spans="1:14" ht="13.05" customHeight="1" x14ac:dyDescent="0.3">
      <c r="A15" s="10" t="s">
        <v>59</v>
      </c>
      <c r="B15" s="3"/>
      <c r="C15" s="4"/>
      <c r="D15" s="5"/>
      <c r="E15" s="24" t="s">
        <v>1537</v>
      </c>
      <c r="F15" s="10" t="s">
        <v>78</v>
      </c>
      <c r="G15" s="3"/>
      <c r="H15" s="11">
        <v>3582129.69</v>
      </c>
      <c r="I15" s="12">
        <v>4.9741E-2</v>
      </c>
      <c r="J15" s="11">
        <v>10515542.789999999</v>
      </c>
      <c r="K15" s="11">
        <v>-6933413.0999999996</v>
      </c>
      <c r="L15" s="12">
        <v>-9.5393000000000006E-2</v>
      </c>
      <c r="M15" s="5"/>
      <c r="N15" s="5"/>
    </row>
    <row r="16" spans="1:14" ht="13.05" customHeight="1" x14ac:dyDescent="0.3">
      <c r="A16" s="3" t="s">
        <v>10</v>
      </c>
      <c r="B16" s="3" t="s">
        <v>11</v>
      </c>
      <c r="C16" s="4" t="s">
        <v>12</v>
      </c>
      <c r="D16" s="5" t="s">
        <v>85</v>
      </c>
      <c r="E16" s="4" t="s">
        <v>1529</v>
      </c>
      <c r="F16" s="3" t="s">
        <v>82</v>
      </c>
      <c r="G16" s="3" t="s">
        <v>83</v>
      </c>
      <c r="H16" s="6">
        <v>4495820.0999999996</v>
      </c>
      <c r="I16" s="7">
        <v>6.2428999999999998E-2</v>
      </c>
      <c r="J16" s="6">
        <v>5424693.7699999996</v>
      </c>
      <c r="K16" s="6">
        <v>-928873.67</v>
      </c>
      <c r="L16" s="7">
        <v>-1.278E-2</v>
      </c>
      <c r="M16" s="5" t="s">
        <v>84</v>
      </c>
      <c r="N16" s="5" t="s">
        <v>85</v>
      </c>
    </row>
    <row r="17" spans="1:14" ht="13.05" customHeight="1" x14ac:dyDescent="0.3">
      <c r="A17" s="3" t="s">
        <v>10</v>
      </c>
      <c r="B17" s="3" t="s">
        <v>11</v>
      </c>
      <c r="C17" s="4" t="s">
        <v>12</v>
      </c>
      <c r="D17" s="5" t="s">
        <v>87</v>
      </c>
      <c r="E17" s="4" t="s">
        <v>1530</v>
      </c>
      <c r="F17" s="3" t="s">
        <v>82</v>
      </c>
      <c r="G17" s="3" t="s">
        <v>86</v>
      </c>
      <c r="H17" s="6">
        <v>580888.86</v>
      </c>
      <c r="I17" s="7">
        <v>8.0660000000000003E-3</v>
      </c>
      <c r="J17" s="6">
        <v>-455601.88</v>
      </c>
      <c r="K17" s="6">
        <v>1036490.74</v>
      </c>
      <c r="L17" s="7">
        <v>1.4260999999999999E-2</v>
      </c>
      <c r="M17" s="5" t="s">
        <v>84</v>
      </c>
      <c r="N17" s="5" t="s">
        <v>87</v>
      </c>
    </row>
    <row r="18" spans="1:14" ht="13.05" customHeight="1" x14ac:dyDescent="0.3">
      <c r="A18" s="10" t="s">
        <v>59</v>
      </c>
      <c r="B18" s="3"/>
      <c r="C18" s="4"/>
      <c r="D18" s="5"/>
      <c r="E18" s="24" t="s">
        <v>1528</v>
      </c>
      <c r="F18" s="10" t="s">
        <v>82</v>
      </c>
      <c r="G18" s="3"/>
      <c r="H18" s="11">
        <v>5076708.96</v>
      </c>
      <c r="I18" s="12">
        <v>7.0495000000000002E-2</v>
      </c>
      <c r="J18" s="11">
        <v>4969091.8899999997</v>
      </c>
      <c r="K18" s="11">
        <v>107617.07</v>
      </c>
      <c r="L18" s="12">
        <v>1.4809999999999999E-3</v>
      </c>
      <c r="M18" s="5"/>
      <c r="N18" s="5"/>
    </row>
    <row r="19" spans="1:14" ht="13.05" customHeight="1" x14ac:dyDescent="0.3">
      <c r="A19" s="3" t="s">
        <v>10</v>
      </c>
      <c r="B19" s="3" t="s">
        <v>11</v>
      </c>
      <c r="C19" s="4" t="s">
        <v>12</v>
      </c>
      <c r="D19" s="5" t="s">
        <v>91</v>
      </c>
      <c r="E19" s="4" t="s">
        <v>1538</v>
      </c>
      <c r="F19" s="3" t="s">
        <v>88</v>
      </c>
      <c r="G19" s="3" t="s">
        <v>89</v>
      </c>
      <c r="H19" s="6">
        <v>1090000</v>
      </c>
      <c r="I19" s="7">
        <v>1.5136E-2</v>
      </c>
      <c r="J19" s="6">
        <v>1420000</v>
      </c>
      <c r="K19" s="6">
        <v>-330000</v>
      </c>
      <c r="L19" s="7">
        <v>-4.5399999999999998E-3</v>
      </c>
      <c r="M19" s="5" t="s">
        <v>90</v>
      </c>
      <c r="N19" s="5" t="s">
        <v>91</v>
      </c>
    </row>
    <row r="20" spans="1:14" ht="13.05" customHeight="1" x14ac:dyDescent="0.3">
      <c r="A20" s="10" t="s">
        <v>59</v>
      </c>
      <c r="B20" s="3"/>
      <c r="C20" s="4"/>
      <c r="D20" s="5" t="s">
        <v>1606</v>
      </c>
      <c r="E20" s="24" t="s">
        <v>1538</v>
      </c>
      <c r="F20" s="10" t="s">
        <v>88</v>
      </c>
      <c r="G20" s="3"/>
      <c r="H20" s="51">
        <v>1090000</v>
      </c>
      <c r="I20" s="12">
        <v>1.5136E-2</v>
      </c>
      <c r="J20" s="11">
        <v>1420000</v>
      </c>
      <c r="K20" s="11">
        <v>-330000</v>
      </c>
      <c r="L20" s="12">
        <v>-4.5399999999999998E-3</v>
      </c>
      <c r="M20" s="5"/>
      <c r="N20" s="5"/>
    </row>
    <row r="21" spans="1:14" ht="13.05" customHeight="1" x14ac:dyDescent="0.3">
      <c r="A21" s="3" t="s">
        <v>10</v>
      </c>
      <c r="B21" s="3" t="s">
        <v>11</v>
      </c>
      <c r="C21" s="4" t="s">
        <v>12</v>
      </c>
      <c r="D21" s="5" t="s">
        <v>95</v>
      </c>
      <c r="E21" s="60" t="s">
        <v>1633</v>
      </c>
      <c r="F21" s="3" t="s">
        <v>92</v>
      </c>
      <c r="G21" s="3" t="s">
        <v>93</v>
      </c>
      <c r="H21" s="6">
        <v>144343.84</v>
      </c>
      <c r="I21" s="7">
        <v>2.0040000000000001E-3</v>
      </c>
      <c r="J21" s="6">
        <v>197633.85</v>
      </c>
      <c r="K21" s="6">
        <v>-53290.01</v>
      </c>
      <c r="L21" s="7">
        <v>-7.3300000000000004E-4</v>
      </c>
      <c r="M21" s="5" t="s">
        <v>94</v>
      </c>
      <c r="N21" s="5" t="s">
        <v>95</v>
      </c>
    </row>
    <row r="22" spans="1:14" ht="13.05" customHeight="1" x14ac:dyDescent="0.3">
      <c r="A22" s="3" t="s">
        <v>10</v>
      </c>
      <c r="B22" s="3" t="s">
        <v>11</v>
      </c>
      <c r="C22" s="4" t="s">
        <v>12</v>
      </c>
      <c r="D22" s="5" t="s">
        <v>1607</v>
      </c>
      <c r="E22" s="60" t="s">
        <v>1634</v>
      </c>
      <c r="F22" s="3" t="s">
        <v>92</v>
      </c>
      <c r="G22" s="3" t="s">
        <v>96</v>
      </c>
      <c r="H22" s="6">
        <v>45960.27</v>
      </c>
      <c r="I22" s="7">
        <v>6.38E-4</v>
      </c>
      <c r="J22" s="6">
        <v>77150.490000000005</v>
      </c>
      <c r="K22" s="6">
        <v>-31190.22</v>
      </c>
      <c r="L22" s="7">
        <v>-4.2900000000000002E-4</v>
      </c>
      <c r="M22" s="5" t="s">
        <v>94</v>
      </c>
      <c r="N22" s="5" t="s">
        <v>97</v>
      </c>
    </row>
    <row r="23" spans="1:14" ht="13.05" customHeight="1" x14ac:dyDescent="0.3">
      <c r="A23" s="10" t="s">
        <v>59</v>
      </c>
      <c r="B23" s="3"/>
      <c r="C23" s="4"/>
      <c r="D23" s="5" t="s">
        <v>1608</v>
      </c>
      <c r="E23" s="60"/>
      <c r="F23" s="10" t="s">
        <v>92</v>
      </c>
      <c r="G23" s="3"/>
      <c r="H23" s="11">
        <v>190304.11</v>
      </c>
      <c r="I23" s="12">
        <v>2.643E-3</v>
      </c>
      <c r="J23" s="11">
        <v>274784.34000000003</v>
      </c>
      <c r="K23" s="11">
        <v>-84480.23</v>
      </c>
      <c r="L23" s="12">
        <v>-1.1620000000000001E-3</v>
      </c>
      <c r="M23" s="5"/>
      <c r="N23" s="5"/>
    </row>
    <row r="24" spans="1:14" ht="13.05" customHeight="1" x14ac:dyDescent="0.3">
      <c r="A24" s="3" t="s">
        <v>10</v>
      </c>
      <c r="B24" s="3" t="s">
        <v>11</v>
      </c>
      <c r="C24" s="4" t="s">
        <v>12</v>
      </c>
      <c r="D24" s="5" t="s">
        <v>1609</v>
      </c>
      <c r="E24" s="60" t="s">
        <v>1635</v>
      </c>
      <c r="F24" s="3" t="s">
        <v>98</v>
      </c>
      <c r="G24" s="3" t="s">
        <v>99</v>
      </c>
      <c r="H24" s="6">
        <v>36022.199999999997</v>
      </c>
      <c r="I24" s="7">
        <v>5.0000000000000001E-4</v>
      </c>
      <c r="J24" s="6"/>
      <c r="K24" s="6">
        <v>36022.199999999997</v>
      </c>
      <c r="L24" s="7">
        <v>4.9600000000000002E-4</v>
      </c>
      <c r="M24" s="5" t="s">
        <v>100</v>
      </c>
      <c r="N24" s="5" t="s">
        <v>101</v>
      </c>
    </row>
    <row r="25" spans="1:14" ht="13.05" customHeight="1" x14ac:dyDescent="0.3">
      <c r="A25" s="10" t="s">
        <v>59</v>
      </c>
      <c r="B25" s="3"/>
      <c r="C25" s="4"/>
      <c r="D25" s="5" t="s">
        <v>1610</v>
      </c>
      <c r="E25" s="60"/>
      <c r="F25" s="10" t="s">
        <v>98</v>
      </c>
      <c r="G25" s="3"/>
      <c r="H25" s="11">
        <v>36022.199999999997</v>
      </c>
      <c r="I25" s="12">
        <v>5.0000000000000001E-4</v>
      </c>
      <c r="J25" s="11"/>
      <c r="K25" s="11">
        <v>36022.199999999997</v>
      </c>
      <c r="L25" s="12">
        <v>4.9600000000000002E-4</v>
      </c>
      <c r="M25" s="5"/>
      <c r="N25" s="5"/>
    </row>
    <row r="26" spans="1:14" ht="13.05" customHeight="1" x14ac:dyDescent="0.3">
      <c r="A26" s="3" t="s">
        <v>10</v>
      </c>
      <c r="B26" s="3" t="s">
        <v>11</v>
      </c>
      <c r="C26" s="4" t="s">
        <v>12</v>
      </c>
      <c r="D26" s="5" t="s">
        <v>1611</v>
      </c>
      <c r="E26" s="60" t="s">
        <v>1590</v>
      </c>
      <c r="F26" s="3" t="s">
        <v>102</v>
      </c>
      <c r="G26" s="3" t="s">
        <v>103</v>
      </c>
      <c r="H26" s="6"/>
      <c r="I26" s="7"/>
      <c r="J26" s="6">
        <v>-12000000</v>
      </c>
      <c r="K26" s="6">
        <v>12000000</v>
      </c>
      <c r="L26" s="7">
        <v>0.165101</v>
      </c>
      <c r="M26" s="5" t="s">
        <v>104</v>
      </c>
      <c r="N26" s="5" t="s">
        <v>105</v>
      </c>
    </row>
    <row r="27" spans="1:14" ht="13.05" customHeight="1" x14ac:dyDescent="0.3">
      <c r="A27" s="10" t="s">
        <v>59</v>
      </c>
      <c r="B27" s="3"/>
      <c r="C27" s="4"/>
      <c r="D27" s="5" t="s">
        <v>1594</v>
      </c>
      <c r="E27" s="4"/>
      <c r="F27" s="10" t="s">
        <v>102</v>
      </c>
      <c r="G27" s="3"/>
      <c r="H27" s="11"/>
      <c r="I27" s="12"/>
      <c r="J27" s="11">
        <v>-12000000</v>
      </c>
      <c r="K27" s="11">
        <v>12000000</v>
      </c>
      <c r="L27" s="12">
        <v>0.165101</v>
      </c>
      <c r="M27" s="5"/>
      <c r="N27" s="5"/>
    </row>
    <row r="28" spans="1:14" ht="13.05" customHeight="1" x14ac:dyDescent="0.3">
      <c r="A28" s="3" t="s">
        <v>10</v>
      </c>
      <c r="B28" s="3" t="s">
        <v>11</v>
      </c>
      <c r="C28" s="4" t="s">
        <v>12</v>
      </c>
      <c r="D28" s="5" t="s">
        <v>1612</v>
      </c>
      <c r="E28" s="60" t="s">
        <v>1591</v>
      </c>
      <c r="F28" s="3" t="s">
        <v>106</v>
      </c>
      <c r="G28" s="3" t="s">
        <v>107</v>
      </c>
      <c r="H28" s="6">
        <v>-508243.41</v>
      </c>
      <c r="I28" s="7">
        <v>-7.0569999999999999E-3</v>
      </c>
      <c r="J28" s="6">
        <v>-930375.51</v>
      </c>
      <c r="K28" s="6">
        <v>422132.1</v>
      </c>
      <c r="L28" s="7">
        <v>5.8079999999999998E-3</v>
      </c>
      <c r="M28" s="5" t="s">
        <v>108</v>
      </c>
      <c r="N28" s="5" t="s">
        <v>109</v>
      </c>
    </row>
    <row r="29" spans="1:14" ht="13.05" customHeight="1" x14ac:dyDescent="0.3">
      <c r="A29" s="3" t="s">
        <v>10</v>
      </c>
      <c r="B29" s="3" t="s">
        <v>11</v>
      </c>
      <c r="C29" s="4" t="s">
        <v>12</v>
      </c>
      <c r="D29" s="5" t="s">
        <v>111</v>
      </c>
      <c r="E29" s="60" t="s">
        <v>1591</v>
      </c>
      <c r="F29" s="3" t="s">
        <v>106</v>
      </c>
      <c r="G29" s="3" t="s">
        <v>110</v>
      </c>
      <c r="H29" s="6">
        <v>502056.73</v>
      </c>
      <c r="I29" s="7">
        <v>6.9719999999999999E-3</v>
      </c>
      <c r="J29" s="6">
        <v>926282.28</v>
      </c>
      <c r="K29" s="6">
        <v>-424225.55</v>
      </c>
      <c r="L29" s="7">
        <v>-5.8370000000000002E-3</v>
      </c>
      <c r="M29" s="5" t="s">
        <v>108</v>
      </c>
      <c r="N29" s="5" t="s">
        <v>111</v>
      </c>
    </row>
    <row r="30" spans="1:14" ht="13.05" customHeight="1" x14ac:dyDescent="0.3">
      <c r="A30" s="3" t="s">
        <v>10</v>
      </c>
      <c r="B30" s="3" t="s">
        <v>11</v>
      </c>
      <c r="C30" s="4" t="s">
        <v>12</v>
      </c>
      <c r="D30" s="5" t="s">
        <v>113</v>
      </c>
      <c r="E30" s="60" t="s">
        <v>1636</v>
      </c>
      <c r="F30" s="3" t="s">
        <v>106</v>
      </c>
      <c r="G30" s="3" t="s">
        <v>112</v>
      </c>
      <c r="H30" s="6">
        <v>-2929.32</v>
      </c>
      <c r="I30" s="7">
        <v>-4.1E-5</v>
      </c>
      <c r="J30" s="6">
        <v>-5170.72</v>
      </c>
      <c r="K30" s="6">
        <v>2241.4</v>
      </c>
      <c r="L30" s="7">
        <v>3.1000000000000001E-5</v>
      </c>
      <c r="M30" s="5" t="s">
        <v>108</v>
      </c>
      <c r="N30" s="5" t="s">
        <v>113</v>
      </c>
    </row>
    <row r="31" spans="1:14" ht="13.05" customHeight="1" x14ac:dyDescent="0.3">
      <c r="A31" s="3" t="s">
        <v>10</v>
      </c>
      <c r="B31" s="3" t="s">
        <v>11</v>
      </c>
      <c r="C31" s="4" t="s">
        <v>12</v>
      </c>
      <c r="D31" s="5" t="s">
        <v>115</v>
      </c>
      <c r="E31" s="60" t="s">
        <v>1636</v>
      </c>
      <c r="F31" s="3" t="s">
        <v>106</v>
      </c>
      <c r="G31" s="3" t="s">
        <v>114</v>
      </c>
      <c r="H31" s="6">
        <v>-3905.76</v>
      </c>
      <c r="I31" s="7">
        <v>-5.3999999999999998E-5</v>
      </c>
      <c r="J31" s="6">
        <v>-6894.23</v>
      </c>
      <c r="K31" s="6">
        <v>2988.47</v>
      </c>
      <c r="L31" s="7">
        <v>4.1E-5</v>
      </c>
      <c r="M31" s="5" t="s">
        <v>108</v>
      </c>
      <c r="N31" s="5" t="s">
        <v>115</v>
      </c>
    </row>
    <row r="32" spans="1:14" ht="13.05" customHeight="1" x14ac:dyDescent="0.3">
      <c r="A32" s="3" t="s">
        <v>10</v>
      </c>
      <c r="B32" s="3" t="s">
        <v>11</v>
      </c>
      <c r="C32" s="4" t="s">
        <v>12</v>
      </c>
      <c r="D32" s="5" t="s">
        <v>1613</v>
      </c>
      <c r="E32" s="60" t="s">
        <v>1636</v>
      </c>
      <c r="F32" s="3" t="s">
        <v>106</v>
      </c>
      <c r="G32" s="3" t="s">
        <v>116</v>
      </c>
      <c r="H32" s="6">
        <v>-14750.32</v>
      </c>
      <c r="I32" s="7">
        <v>-2.05E-4</v>
      </c>
      <c r="J32" s="6">
        <v>-11456.1</v>
      </c>
      <c r="K32" s="6">
        <v>-3294.22</v>
      </c>
      <c r="L32" s="7">
        <v>-4.5000000000000003E-5</v>
      </c>
      <c r="M32" s="5" t="s">
        <v>108</v>
      </c>
      <c r="N32" s="5" t="s">
        <v>117</v>
      </c>
    </row>
    <row r="33" spans="1:14" ht="13.05" customHeight="1" x14ac:dyDescent="0.3">
      <c r="A33" s="3" t="s">
        <v>10</v>
      </c>
      <c r="B33" s="3" t="s">
        <v>11</v>
      </c>
      <c r="C33" s="4" t="s">
        <v>12</v>
      </c>
      <c r="D33" s="5" t="s">
        <v>119</v>
      </c>
      <c r="E33" s="60" t="s">
        <v>1636</v>
      </c>
      <c r="F33" s="3" t="s">
        <v>106</v>
      </c>
      <c r="G33" s="3" t="s">
        <v>118</v>
      </c>
      <c r="H33" s="6">
        <v>-7260.62</v>
      </c>
      <c r="I33" s="7">
        <v>-1.01E-4</v>
      </c>
      <c r="J33" s="6">
        <v>-13291.07</v>
      </c>
      <c r="K33" s="6">
        <v>6030.45</v>
      </c>
      <c r="L33" s="7">
        <v>8.2999999999999998E-5</v>
      </c>
      <c r="M33" s="5" t="s">
        <v>108</v>
      </c>
      <c r="N33" s="5" t="s">
        <v>119</v>
      </c>
    </row>
    <row r="34" spans="1:14" ht="13.05" customHeight="1" x14ac:dyDescent="0.3">
      <c r="A34" s="3" t="s">
        <v>10</v>
      </c>
      <c r="B34" s="3" t="s">
        <v>11</v>
      </c>
      <c r="C34" s="4" t="s">
        <v>12</v>
      </c>
      <c r="D34" s="5" t="s">
        <v>121</v>
      </c>
      <c r="E34" s="60" t="s">
        <v>1636</v>
      </c>
      <c r="F34" s="3" t="s">
        <v>106</v>
      </c>
      <c r="G34" s="3" t="s">
        <v>120</v>
      </c>
      <c r="H34" s="6">
        <v>14484.84</v>
      </c>
      <c r="I34" s="7">
        <v>2.0100000000000001E-4</v>
      </c>
      <c r="J34" s="6">
        <v>21009.13</v>
      </c>
      <c r="K34" s="6">
        <v>-6524.29</v>
      </c>
      <c r="L34" s="7">
        <v>-9.0000000000000006E-5</v>
      </c>
      <c r="M34" s="5" t="s">
        <v>108</v>
      </c>
      <c r="N34" s="5" t="s">
        <v>121</v>
      </c>
    </row>
    <row r="35" spans="1:14" ht="13.05" customHeight="1" x14ac:dyDescent="0.3">
      <c r="A35" s="3" t="s">
        <v>10</v>
      </c>
      <c r="B35" s="3" t="s">
        <v>11</v>
      </c>
      <c r="C35" s="4" t="s">
        <v>12</v>
      </c>
      <c r="D35" s="5" t="s">
        <v>123</v>
      </c>
      <c r="E35" s="60" t="s">
        <v>1636</v>
      </c>
      <c r="F35" s="3" t="s">
        <v>106</v>
      </c>
      <c r="G35" s="3" t="s">
        <v>122</v>
      </c>
      <c r="H35" s="6">
        <v>-11379.03</v>
      </c>
      <c r="I35" s="7">
        <v>-1.5799999999999999E-4</v>
      </c>
      <c r="J35" s="6">
        <v>-8908.31</v>
      </c>
      <c r="K35" s="6">
        <v>-2470.7199999999998</v>
      </c>
      <c r="L35" s="7">
        <v>-3.4E-5</v>
      </c>
      <c r="M35" s="5" t="s">
        <v>108</v>
      </c>
      <c r="N35" s="5" t="s">
        <v>123</v>
      </c>
    </row>
    <row r="36" spans="1:14" ht="13.05" customHeight="1" x14ac:dyDescent="0.3">
      <c r="A36" s="3" t="s">
        <v>10</v>
      </c>
      <c r="B36" s="3" t="s">
        <v>11</v>
      </c>
      <c r="C36" s="4" t="s">
        <v>12</v>
      </c>
      <c r="D36" s="5" t="s">
        <v>125</v>
      </c>
      <c r="E36" s="60" t="s">
        <v>1637</v>
      </c>
      <c r="F36" s="3" t="s">
        <v>106</v>
      </c>
      <c r="G36" s="3" t="s">
        <v>124</v>
      </c>
      <c r="H36" s="6">
        <v>-23545.8</v>
      </c>
      <c r="I36" s="7">
        <v>-3.2699999999999998E-4</v>
      </c>
      <c r="J36" s="6">
        <v>-23490.639999999999</v>
      </c>
      <c r="K36" s="6">
        <v>-55.16</v>
      </c>
      <c r="L36" s="7">
        <v>-9.9999999999999995E-7</v>
      </c>
      <c r="M36" s="5" t="s">
        <v>108</v>
      </c>
      <c r="N36" s="5" t="s">
        <v>125</v>
      </c>
    </row>
    <row r="37" spans="1:14" ht="13.05" customHeight="1" x14ac:dyDescent="0.3">
      <c r="A37" s="3" t="s">
        <v>10</v>
      </c>
      <c r="B37" s="3" t="s">
        <v>11</v>
      </c>
      <c r="C37" s="4" t="s">
        <v>12</v>
      </c>
      <c r="D37" s="5" t="s">
        <v>1614</v>
      </c>
      <c r="E37" s="60" t="s">
        <v>1638</v>
      </c>
      <c r="F37" s="3" t="s">
        <v>106</v>
      </c>
      <c r="G37" s="3" t="s">
        <v>126</v>
      </c>
      <c r="H37" s="6">
        <v>-37972.58</v>
      </c>
      <c r="I37" s="7">
        <v>-5.2700000000000002E-4</v>
      </c>
      <c r="J37" s="6">
        <v>-67027.350000000006</v>
      </c>
      <c r="K37" s="6">
        <v>29054.77</v>
      </c>
      <c r="L37" s="7">
        <v>4.0000000000000002E-4</v>
      </c>
      <c r="M37" s="5" t="s">
        <v>108</v>
      </c>
      <c r="N37" s="5" t="s">
        <v>127</v>
      </c>
    </row>
    <row r="38" spans="1:14" ht="13.05" customHeight="1" x14ac:dyDescent="0.3">
      <c r="A38" s="3" t="s">
        <v>10</v>
      </c>
      <c r="B38" s="3" t="s">
        <v>11</v>
      </c>
      <c r="C38" s="4" t="s">
        <v>12</v>
      </c>
      <c r="D38" s="5" t="s">
        <v>129</v>
      </c>
      <c r="E38" s="60" t="s">
        <v>1638</v>
      </c>
      <c r="F38" s="3" t="s">
        <v>106</v>
      </c>
      <c r="G38" s="3" t="s">
        <v>128</v>
      </c>
      <c r="H38" s="6">
        <v>-3446.16</v>
      </c>
      <c r="I38" s="7">
        <v>-4.8000000000000001E-5</v>
      </c>
      <c r="J38" s="6">
        <v>28193.99</v>
      </c>
      <c r="K38" s="6">
        <v>-31640.15</v>
      </c>
      <c r="L38" s="7">
        <v>-4.35E-4</v>
      </c>
      <c r="M38" s="5" t="s">
        <v>108</v>
      </c>
      <c r="N38" s="5" t="s">
        <v>129</v>
      </c>
    </row>
    <row r="39" spans="1:14" ht="13.05" customHeight="1" x14ac:dyDescent="0.3">
      <c r="A39" s="3" t="s">
        <v>10</v>
      </c>
      <c r="B39" s="3" t="s">
        <v>11</v>
      </c>
      <c r="C39" s="4" t="s">
        <v>12</v>
      </c>
      <c r="D39" s="5" t="s">
        <v>131</v>
      </c>
      <c r="E39" s="60" t="s">
        <v>1637</v>
      </c>
      <c r="F39" s="3" t="s">
        <v>106</v>
      </c>
      <c r="G39" s="3" t="s">
        <v>130</v>
      </c>
      <c r="H39" s="6">
        <v>-24733</v>
      </c>
      <c r="I39" s="7">
        <v>-3.4299999999999999E-4</v>
      </c>
      <c r="J39" s="6">
        <v>-23078.400000000001</v>
      </c>
      <c r="K39" s="6">
        <v>-1654.6</v>
      </c>
      <c r="L39" s="7">
        <v>-2.3E-5</v>
      </c>
      <c r="M39" s="5" t="s">
        <v>108</v>
      </c>
      <c r="N39" s="5" t="s">
        <v>131</v>
      </c>
    </row>
    <row r="40" spans="1:14" ht="13.05" customHeight="1" x14ac:dyDescent="0.3">
      <c r="A40" s="3" t="s">
        <v>10</v>
      </c>
      <c r="B40" s="3" t="s">
        <v>11</v>
      </c>
      <c r="C40" s="4" t="s">
        <v>12</v>
      </c>
      <c r="D40" s="5" t="s">
        <v>133</v>
      </c>
      <c r="E40" s="60" t="s">
        <v>1637</v>
      </c>
      <c r="F40" s="3" t="s">
        <v>106</v>
      </c>
      <c r="G40" s="3" t="s">
        <v>132</v>
      </c>
      <c r="H40" s="6">
        <v>-5034.62</v>
      </c>
      <c r="I40" s="7">
        <v>-6.9999999999999994E-5</v>
      </c>
      <c r="J40" s="6">
        <v>-10615.63</v>
      </c>
      <c r="K40" s="6">
        <v>5581.01</v>
      </c>
      <c r="L40" s="7">
        <v>7.7000000000000001E-5</v>
      </c>
      <c r="M40" s="5" t="s">
        <v>108</v>
      </c>
      <c r="N40" s="5" t="s">
        <v>133</v>
      </c>
    </row>
    <row r="41" spans="1:14" ht="13.05" customHeight="1" x14ac:dyDescent="0.3">
      <c r="A41" s="3" t="s">
        <v>10</v>
      </c>
      <c r="B41" s="3" t="s">
        <v>11</v>
      </c>
      <c r="C41" s="4" t="s">
        <v>12</v>
      </c>
      <c r="D41" s="5" t="s">
        <v>135</v>
      </c>
      <c r="E41" s="60" t="s">
        <v>1637</v>
      </c>
      <c r="F41" s="3" t="s">
        <v>106</v>
      </c>
      <c r="G41" s="3" t="s">
        <v>134</v>
      </c>
      <c r="H41" s="6">
        <v>2343.81</v>
      </c>
      <c r="I41" s="7">
        <v>3.3000000000000003E-5</v>
      </c>
      <c r="J41" s="6">
        <v>4695.5</v>
      </c>
      <c r="K41" s="6">
        <v>-2351.69</v>
      </c>
      <c r="L41" s="7">
        <v>-3.1999999999999999E-5</v>
      </c>
      <c r="M41" s="5" t="s">
        <v>108</v>
      </c>
      <c r="N41" s="5" t="s">
        <v>135</v>
      </c>
    </row>
    <row r="42" spans="1:14" ht="13.05" customHeight="1" x14ac:dyDescent="0.3">
      <c r="A42" s="3" t="s">
        <v>10</v>
      </c>
      <c r="B42" s="3" t="s">
        <v>11</v>
      </c>
      <c r="C42" s="4" t="s">
        <v>12</v>
      </c>
      <c r="D42" s="5" t="s">
        <v>137</v>
      </c>
      <c r="E42" s="60" t="s">
        <v>1637</v>
      </c>
      <c r="F42" s="3" t="s">
        <v>106</v>
      </c>
      <c r="G42" s="3" t="s">
        <v>136</v>
      </c>
      <c r="H42" s="6">
        <v>-250.98</v>
      </c>
      <c r="I42" s="7">
        <v>-3.0000000000000001E-6</v>
      </c>
      <c r="J42" s="6">
        <v>5901.02</v>
      </c>
      <c r="K42" s="6">
        <v>-6152</v>
      </c>
      <c r="L42" s="7">
        <v>-8.5000000000000006E-5</v>
      </c>
      <c r="M42" s="5" t="s">
        <v>108</v>
      </c>
      <c r="N42" s="5" t="s">
        <v>137</v>
      </c>
    </row>
    <row r="43" spans="1:14" ht="13.05" customHeight="1" x14ac:dyDescent="0.3">
      <c r="A43" s="3" t="s">
        <v>10</v>
      </c>
      <c r="B43" s="3" t="s">
        <v>11</v>
      </c>
      <c r="C43" s="4" t="s">
        <v>12</v>
      </c>
      <c r="D43" s="5" t="s">
        <v>139</v>
      </c>
      <c r="E43" s="60" t="s">
        <v>1637</v>
      </c>
      <c r="F43" s="3" t="s">
        <v>106</v>
      </c>
      <c r="G43" s="3" t="s">
        <v>138</v>
      </c>
      <c r="H43" s="6">
        <v>1292.98</v>
      </c>
      <c r="I43" s="7">
        <v>1.8E-5</v>
      </c>
      <c r="J43" s="6">
        <v>4565.2299999999996</v>
      </c>
      <c r="K43" s="6">
        <v>-3272.25</v>
      </c>
      <c r="L43" s="7">
        <v>-4.5000000000000003E-5</v>
      </c>
      <c r="M43" s="5" t="s">
        <v>108</v>
      </c>
      <c r="N43" s="5" t="s">
        <v>139</v>
      </c>
    </row>
    <row r="44" spans="1:14" ht="13.05" customHeight="1" x14ac:dyDescent="0.3">
      <c r="A44" s="3" t="s">
        <v>10</v>
      </c>
      <c r="B44" s="3" t="s">
        <v>11</v>
      </c>
      <c r="C44" s="4" t="s">
        <v>12</v>
      </c>
      <c r="D44" s="5" t="s">
        <v>141</v>
      </c>
      <c r="E44" s="60" t="s">
        <v>1637</v>
      </c>
      <c r="F44" s="3" t="s">
        <v>106</v>
      </c>
      <c r="G44" s="3" t="s">
        <v>140</v>
      </c>
      <c r="H44" s="6">
        <v>-813.69</v>
      </c>
      <c r="I44" s="7">
        <v>-1.1E-5</v>
      </c>
      <c r="J44" s="6">
        <v>-1436.46</v>
      </c>
      <c r="K44" s="6">
        <v>622.77</v>
      </c>
      <c r="L44" s="7">
        <v>9.0000000000000002E-6</v>
      </c>
      <c r="M44" s="5" t="s">
        <v>108</v>
      </c>
      <c r="N44" s="5" t="s">
        <v>141</v>
      </c>
    </row>
    <row r="45" spans="1:14" ht="13.05" customHeight="1" x14ac:dyDescent="0.3">
      <c r="A45" s="3" t="s">
        <v>10</v>
      </c>
      <c r="B45" s="3" t="s">
        <v>11</v>
      </c>
      <c r="C45" s="4" t="s">
        <v>12</v>
      </c>
      <c r="D45" s="5" t="s">
        <v>143</v>
      </c>
      <c r="E45" s="60" t="s">
        <v>1637</v>
      </c>
      <c r="F45" s="3" t="s">
        <v>106</v>
      </c>
      <c r="G45" s="3" t="s">
        <v>142</v>
      </c>
      <c r="H45" s="6"/>
      <c r="I45" s="7"/>
      <c r="J45" s="6">
        <v>2352.38</v>
      </c>
      <c r="K45" s="6">
        <v>-2352.38</v>
      </c>
      <c r="L45" s="7">
        <v>-3.1999999999999999E-5</v>
      </c>
      <c r="M45" s="5" t="s">
        <v>108</v>
      </c>
      <c r="N45" s="5" t="s">
        <v>143</v>
      </c>
    </row>
    <row r="46" spans="1:14" ht="13.05" customHeight="1" x14ac:dyDescent="0.3">
      <c r="A46" s="3" t="s">
        <v>10</v>
      </c>
      <c r="B46" s="3" t="s">
        <v>11</v>
      </c>
      <c r="C46" s="4" t="s">
        <v>12</v>
      </c>
      <c r="D46" s="5" t="s">
        <v>145</v>
      </c>
      <c r="E46" s="60" t="s">
        <v>1639</v>
      </c>
      <c r="F46" s="3" t="s">
        <v>106</v>
      </c>
      <c r="G46" s="3" t="s">
        <v>144</v>
      </c>
      <c r="H46" s="6">
        <v>-50071.519999999997</v>
      </c>
      <c r="I46" s="7">
        <v>-6.9499999999999998E-4</v>
      </c>
      <c r="J46" s="6">
        <v>-90819.83</v>
      </c>
      <c r="K46" s="6">
        <v>40748.31</v>
      </c>
      <c r="L46" s="7">
        <v>5.6099999999999998E-4</v>
      </c>
      <c r="M46" s="5" t="s">
        <v>108</v>
      </c>
      <c r="N46" s="5" t="s">
        <v>145</v>
      </c>
    </row>
    <row r="47" spans="1:14" ht="13.05" customHeight="1" x14ac:dyDescent="0.3">
      <c r="A47" s="3" t="s">
        <v>10</v>
      </c>
      <c r="B47" s="3" t="s">
        <v>11</v>
      </c>
      <c r="C47" s="4" t="s">
        <v>12</v>
      </c>
      <c r="D47" s="5" t="s">
        <v>147</v>
      </c>
      <c r="E47" s="60" t="s">
        <v>1640</v>
      </c>
      <c r="F47" s="3" t="s">
        <v>106</v>
      </c>
      <c r="G47" s="3" t="s">
        <v>146</v>
      </c>
      <c r="H47" s="6">
        <v>-10362.43</v>
      </c>
      <c r="I47" s="7">
        <v>-1.44E-4</v>
      </c>
      <c r="J47" s="6">
        <v>-21849.46</v>
      </c>
      <c r="K47" s="6">
        <v>11487.03</v>
      </c>
      <c r="L47" s="7">
        <v>1.5799999999999999E-4</v>
      </c>
      <c r="M47" s="5" t="s">
        <v>108</v>
      </c>
      <c r="N47" s="5" t="s">
        <v>147</v>
      </c>
    </row>
    <row r="48" spans="1:14" ht="13.05" customHeight="1" x14ac:dyDescent="0.3">
      <c r="A48" s="3" t="s">
        <v>10</v>
      </c>
      <c r="B48" s="3" t="s">
        <v>11</v>
      </c>
      <c r="C48" s="4" t="s">
        <v>12</v>
      </c>
      <c r="D48" s="5" t="s">
        <v>149</v>
      </c>
      <c r="E48" s="60" t="s">
        <v>1639</v>
      </c>
      <c r="F48" s="3" t="s">
        <v>106</v>
      </c>
      <c r="G48" s="3" t="s">
        <v>148</v>
      </c>
      <c r="H48" s="6">
        <v>-627.63</v>
      </c>
      <c r="I48" s="7">
        <v>-9.0000000000000002E-6</v>
      </c>
      <c r="J48" s="6">
        <v>-1148.54</v>
      </c>
      <c r="K48" s="6">
        <v>520.91</v>
      </c>
      <c r="L48" s="7">
        <v>6.9999999999999999E-6</v>
      </c>
      <c r="M48" s="5" t="s">
        <v>108</v>
      </c>
      <c r="N48" s="5" t="s">
        <v>149</v>
      </c>
    </row>
    <row r="49" spans="1:14" ht="13.05" customHeight="1" x14ac:dyDescent="0.3">
      <c r="A49" s="3" t="s">
        <v>10</v>
      </c>
      <c r="B49" s="3" t="s">
        <v>11</v>
      </c>
      <c r="C49" s="4" t="s">
        <v>12</v>
      </c>
      <c r="D49" s="5" t="s">
        <v>151</v>
      </c>
      <c r="E49" s="60" t="s">
        <v>1641</v>
      </c>
      <c r="F49" s="3" t="s">
        <v>106</v>
      </c>
      <c r="G49" s="3" t="s">
        <v>150</v>
      </c>
      <c r="H49" s="6">
        <v>-10130.950000000001</v>
      </c>
      <c r="I49" s="7">
        <v>-1.4100000000000001E-4</v>
      </c>
      <c r="J49" s="6">
        <v>-9196.7000000000007</v>
      </c>
      <c r="K49" s="6">
        <v>-934.25</v>
      </c>
      <c r="L49" s="7">
        <v>-1.2999999999999999E-5</v>
      </c>
      <c r="M49" s="5" t="s">
        <v>108</v>
      </c>
      <c r="N49" s="5" t="s">
        <v>151</v>
      </c>
    </row>
    <row r="50" spans="1:14" ht="13.05" customHeight="1" x14ac:dyDescent="0.3">
      <c r="A50" s="3" t="s">
        <v>10</v>
      </c>
      <c r="B50" s="3" t="s">
        <v>11</v>
      </c>
      <c r="C50" s="4" t="s">
        <v>12</v>
      </c>
      <c r="D50" s="5" t="s">
        <v>153</v>
      </c>
      <c r="E50" s="60" t="s">
        <v>1642</v>
      </c>
      <c r="F50" s="3" t="s">
        <v>106</v>
      </c>
      <c r="G50" s="3" t="s">
        <v>152</v>
      </c>
      <c r="H50" s="6">
        <v>-2500</v>
      </c>
      <c r="I50" s="7">
        <v>-3.4999999999999997E-5</v>
      </c>
      <c r="J50" s="6">
        <v>-10000</v>
      </c>
      <c r="K50" s="6">
        <v>7500</v>
      </c>
      <c r="L50" s="7">
        <v>1.03E-4</v>
      </c>
      <c r="M50" s="5" t="s">
        <v>108</v>
      </c>
      <c r="N50" s="5" t="s">
        <v>153</v>
      </c>
    </row>
    <row r="51" spans="1:14" ht="13.05" customHeight="1" x14ac:dyDescent="0.3">
      <c r="A51" s="3" t="s">
        <v>10</v>
      </c>
      <c r="B51" s="3" t="s">
        <v>11</v>
      </c>
      <c r="C51" s="4" t="s">
        <v>12</v>
      </c>
      <c r="D51" s="5" t="s">
        <v>155</v>
      </c>
      <c r="E51" s="60" t="s">
        <v>1637</v>
      </c>
      <c r="F51" s="3" t="s">
        <v>106</v>
      </c>
      <c r="G51" s="3" t="s">
        <v>154</v>
      </c>
      <c r="H51" s="6">
        <v>-10889.24</v>
      </c>
      <c r="I51" s="7">
        <v>-1.5100000000000001E-4</v>
      </c>
      <c r="J51" s="6">
        <v>-19221.150000000001</v>
      </c>
      <c r="K51" s="6">
        <v>8331.91</v>
      </c>
      <c r="L51" s="7">
        <v>1.15E-4</v>
      </c>
      <c r="M51" s="5" t="s">
        <v>108</v>
      </c>
      <c r="N51" s="5" t="s">
        <v>155</v>
      </c>
    </row>
    <row r="52" spans="1:14" ht="13.05" customHeight="1" x14ac:dyDescent="0.3">
      <c r="A52" s="3" t="s">
        <v>10</v>
      </c>
      <c r="B52" s="3" t="s">
        <v>11</v>
      </c>
      <c r="C52" s="4" t="s">
        <v>12</v>
      </c>
      <c r="D52" s="5" t="s">
        <v>157</v>
      </c>
      <c r="E52" s="60" t="s">
        <v>1639</v>
      </c>
      <c r="F52" s="3" t="s">
        <v>106</v>
      </c>
      <c r="G52" s="3" t="s">
        <v>156</v>
      </c>
      <c r="H52" s="6">
        <v>11012.92</v>
      </c>
      <c r="I52" s="7">
        <v>1.5300000000000001E-4</v>
      </c>
      <c r="J52" s="6">
        <v>55465.06</v>
      </c>
      <c r="K52" s="6">
        <v>-44452.14</v>
      </c>
      <c r="L52" s="7">
        <v>-6.1200000000000002E-4</v>
      </c>
      <c r="M52" s="5" t="s">
        <v>108</v>
      </c>
      <c r="N52" s="5" t="s">
        <v>157</v>
      </c>
    </row>
    <row r="53" spans="1:14" ht="13.05" customHeight="1" x14ac:dyDescent="0.3">
      <c r="A53" s="3" t="s">
        <v>10</v>
      </c>
      <c r="B53" s="3" t="s">
        <v>11</v>
      </c>
      <c r="C53" s="4" t="s">
        <v>12</v>
      </c>
      <c r="D53" s="5" t="s">
        <v>159</v>
      </c>
      <c r="E53" s="60" t="s">
        <v>1640</v>
      </c>
      <c r="F53" s="3" t="s">
        <v>106</v>
      </c>
      <c r="G53" s="3" t="s">
        <v>158</v>
      </c>
      <c r="H53" s="6">
        <v>3424.09</v>
      </c>
      <c r="I53" s="7">
        <v>4.8000000000000001E-5</v>
      </c>
      <c r="J53" s="6">
        <v>16086.36</v>
      </c>
      <c r="K53" s="6">
        <v>-12662.27</v>
      </c>
      <c r="L53" s="7">
        <v>-1.74E-4</v>
      </c>
      <c r="M53" s="5" t="s">
        <v>108</v>
      </c>
      <c r="N53" s="5" t="s">
        <v>159</v>
      </c>
    </row>
    <row r="54" spans="1:14" ht="13.05" customHeight="1" x14ac:dyDescent="0.3">
      <c r="A54" s="3" t="s">
        <v>10</v>
      </c>
      <c r="B54" s="3" t="s">
        <v>11</v>
      </c>
      <c r="C54" s="4" t="s">
        <v>12</v>
      </c>
      <c r="D54" s="5" t="s">
        <v>161</v>
      </c>
      <c r="E54" s="60" t="s">
        <v>1639</v>
      </c>
      <c r="F54" s="3" t="s">
        <v>106</v>
      </c>
      <c r="G54" s="3" t="s">
        <v>160</v>
      </c>
      <c r="H54" s="6"/>
      <c r="I54" s="7"/>
      <c r="J54" s="6">
        <v>4930.96</v>
      </c>
      <c r="K54" s="6">
        <v>-4930.96</v>
      </c>
      <c r="L54" s="7">
        <v>-6.7999999999999999E-5</v>
      </c>
      <c r="M54" s="5" t="s">
        <v>108</v>
      </c>
      <c r="N54" s="5" t="s">
        <v>161</v>
      </c>
    </row>
    <row r="55" spans="1:14" ht="13.05" customHeight="1" x14ac:dyDescent="0.3">
      <c r="A55" s="3" t="s">
        <v>10</v>
      </c>
      <c r="B55" s="3" t="s">
        <v>11</v>
      </c>
      <c r="C55" s="4" t="s">
        <v>12</v>
      </c>
      <c r="D55" s="5" t="s">
        <v>163</v>
      </c>
      <c r="E55" s="60" t="s">
        <v>1641</v>
      </c>
      <c r="F55" s="3" t="s">
        <v>106</v>
      </c>
      <c r="G55" s="3" t="s">
        <v>162</v>
      </c>
      <c r="H55" s="6">
        <v>-6269.05</v>
      </c>
      <c r="I55" s="7">
        <v>-8.7000000000000001E-5</v>
      </c>
      <c r="J55" s="6">
        <v>474.85</v>
      </c>
      <c r="K55" s="6">
        <v>-6743.9</v>
      </c>
      <c r="L55" s="7">
        <v>-9.2999999999999997E-5</v>
      </c>
      <c r="M55" s="5" t="s">
        <v>108</v>
      </c>
      <c r="N55" s="5" t="s">
        <v>163</v>
      </c>
    </row>
    <row r="56" spans="1:14" ht="13.05" customHeight="1" x14ac:dyDescent="0.3">
      <c r="A56" s="3" t="s">
        <v>10</v>
      </c>
      <c r="B56" s="3" t="s">
        <v>11</v>
      </c>
      <c r="C56" s="4" t="s">
        <v>12</v>
      </c>
      <c r="D56" s="5" t="s">
        <v>165</v>
      </c>
      <c r="E56" s="60" t="s">
        <v>1642</v>
      </c>
      <c r="F56" s="3" t="s">
        <v>106</v>
      </c>
      <c r="G56" s="3" t="s">
        <v>164</v>
      </c>
      <c r="H56" s="6">
        <v>-2140.67</v>
      </c>
      <c r="I56" s="7">
        <v>-3.0000000000000001E-5</v>
      </c>
      <c r="J56" s="6">
        <v>7859.33</v>
      </c>
      <c r="K56" s="6">
        <v>-10000</v>
      </c>
      <c r="L56" s="7">
        <v>-1.3799999999999999E-4</v>
      </c>
      <c r="M56" s="5" t="s">
        <v>108</v>
      </c>
      <c r="N56" s="5" t="s">
        <v>165</v>
      </c>
    </row>
    <row r="57" spans="1:14" ht="13.05" customHeight="1" x14ac:dyDescent="0.3">
      <c r="A57" s="3" t="s">
        <v>10</v>
      </c>
      <c r="B57" s="3" t="s">
        <v>11</v>
      </c>
      <c r="C57" s="4" t="s">
        <v>12</v>
      </c>
      <c r="D57" s="5" t="s">
        <v>167</v>
      </c>
      <c r="E57" s="60" t="s">
        <v>1637</v>
      </c>
      <c r="F57" s="3" t="s">
        <v>106</v>
      </c>
      <c r="G57" s="3" t="s">
        <v>166</v>
      </c>
      <c r="H57" s="6">
        <v>-21555.75</v>
      </c>
      <c r="I57" s="7">
        <v>-2.99E-4</v>
      </c>
      <c r="J57" s="6">
        <v>-12371.4</v>
      </c>
      <c r="K57" s="6">
        <v>-9184.35</v>
      </c>
      <c r="L57" s="7">
        <v>-1.26E-4</v>
      </c>
      <c r="M57" s="5" t="s">
        <v>108</v>
      </c>
      <c r="N57" s="5" t="s">
        <v>167</v>
      </c>
    </row>
    <row r="58" spans="1:14" ht="13.05" customHeight="1" x14ac:dyDescent="0.3">
      <c r="A58" s="3" t="s">
        <v>10</v>
      </c>
      <c r="B58" s="3" t="s">
        <v>11</v>
      </c>
      <c r="C58" s="4" t="s">
        <v>12</v>
      </c>
      <c r="D58" s="5" t="s">
        <v>169</v>
      </c>
      <c r="E58" s="60" t="s">
        <v>1637</v>
      </c>
      <c r="F58" s="3" t="s">
        <v>106</v>
      </c>
      <c r="G58" s="3" t="s">
        <v>168</v>
      </c>
      <c r="H58" s="6"/>
      <c r="I58" s="7"/>
      <c r="J58" s="6">
        <v>-2500</v>
      </c>
      <c r="K58" s="6">
        <v>2500</v>
      </c>
      <c r="L58" s="7">
        <v>3.4E-5</v>
      </c>
      <c r="M58" s="5" t="s">
        <v>108</v>
      </c>
      <c r="N58" s="5" t="s">
        <v>169</v>
      </c>
    </row>
    <row r="59" spans="1:14" ht="13.05" customHeight="1" x14ac:dyDescent="0.3">
      <c r="A59" s="3" t="s">
        <v>10</v>
      </c>
      <c r="B59" s="3" t="s">
        <v>11</v>
      </c>
      <c r="C59" s="4" t="s">
        <v>12</v>
      </c>
      <c r="D59" s="5" t="s">
        <v>171</v>
      </c>
      <c r="E59" s="60" t="s">
        <v>1638</v>
      </c>
      <c r="F59" s="3" t="s">
        <v>106</v>
      </c>
      <c r="G59" s="3" t="s">
        <v>170</v>
      </c>
      <c r="H59" s="6">
        <v>-4049.93</v>
      </c>
      <c r="I59" s="7">
        <v>-5.5999999999999999E-5</v>
      </c>
      <c r="J59" s="6">
        <v>-6073.63</v>
      </c>
      <c r="K59" s="6">
        <v>2023.7</v>
      </c>
      <c r="L59" s="7">
        <v>2.8E-5</v>
      </c>
      <c r="M59" s="5" t="s">
        <v>108</v>
      </c>
      <c r="N59" s="5" t="s">
        <v>171</v>
      </c>
    </row>
    <row r="60" spans="1:14" ht="13.05" customHeight="1" x14ac:dyDescent="0.3">
      <c r="A60" s="3" t="s">
        <v>10</v>
      </c>
      <c r="B60" s="3" t="s">
        <v>11</v>
      </c>
      <c r="C60" s="4" t="s">
        <v>12</v>
      </c>
      <c r="D60" s="5" t="s">
        <v>173</v>
      </c>
      <c r="E60" s="60" t="s">
        <v>1638</v>
      </c>
      <c r="F60" s="3" t="s">
        <v>106</v>
      </c>
      <c r="G60" s="3" t="s">
        <v>172</v>
      </c>
      <c r="H60" s="6">
        <v>0</v>
      </c>
      <c r="I60" s="7">
        <v>0</v>
      </c>
      <c r="J60" s="6">
        <v>157.63</v>
      </c>
      <c r="K60" s="6">
        <v>-157.63</v>
      </c>
      <c r="L60" s="7">
        <v>-1.9999999999999999E-6</v>
      </c>
      <c r="M60" s="5" t="s">
        <v>108</v>
      </c>
      <c r="N60" s="5" t="s">
        <v>173</v>
      </c>
    </row>
    <row r="61" spans="1:14" ht="13.05" customHeight="1" x14ac:dyDescent="0.3">
      <c r="A61" s="3" t="s">
        <v>10</v>
      </c>
      <c r="B61" s="3" t="s">
        <v>11</v>
      </c>
      <c r="C61" s="4" t="s">
        <v>12</v>
      </c>
      <c r="D61" s="5" t="s">
        <v>175</v>
      </c>
      <c r="E61" s="60" t="s">
        <v>1643</v>
      </c>
      <c r="F61" s="3" t="s">
        <v>106</v>
      </c>
      <c r="G61" s="3" t="s">
        <v>174</v>
      </c>
      <c r="H61" s="6">
        <v>-16566.39</v>
      </c>
      <c r="I61" s="7">
        <v>-2.3000000000000001E-4</v>
      </c>
      <c r="J61" s="6">
        <v>-42687.82</v>
      </c>
      <c r="K61" s="6">
        <v>26121.43</v>
      </c>
      <c r="L61" s="7">
        <v>3.59E-4</v>
      </c>
      <c r="M61" s="5" t="s">
        <v>108</v>
      </c>
      <c r="N61" s="5" t="s">
        <v>175</v>
      </c>
    </row>
    <row r="62" spans="1:14" ht="13.05" customHeight="1" x14ac:dyDescent="0.3">
      <c r="A62" s="3" t="s">
        <v>10</v>
      </c>
      <c r="B62" s="3" t="s">
        <v>11</v>
      </c>
      <c r="C62" s="4" t="s">
        <v>12</v>
      </c>
      <c r="D62" s="5" t="s">
        <v>177</v>
      </c>
      <c r="E62" s="60" t="s">
        <v>1643</v>
      </c>
      <c r="F62" s="3" t="s">
        <v>106</v>
      </c>
      <c r="G62" s="3" t="s">
        <v>176</v>
      </c>
      <c r="H62" s="6">
        <v>-28917.62</v>
      </c>
      <c r="I62" s="7">
        <v>-4.0200000000000001E-4</v>
      </c>
      <c r="J62" s="6">
        <v>-51043.97</v>
      </c>
      <c r="K62" s="6">
        <v>22126.35</v>
      </c>
      <c r="L62" s="7">
        <v>3.0400000000000002E-4</v>
      </c>
      <c r="M62" s="5" t="s">
        <v>108</v>
      </c>
      <c r="N62" s="5" t="s">
        <v>177</v>
      </c>
    </row>
    <row r="63" spans="1:14" ht="13.05" customHeight="1" x14ac:dyDescent="0.3">
      <c r="A63" s="3" t="s">
        <v>10</v>
      </c>
      <c r="B63" s="3" t="s">
        <v>11</v>
      </c>
      <c r="C63" s="4" t="s">
        <v>12</v>
      </c>
      <c r="D63" s="5" t="s">
        <v>179</v>
      </c>
      <c r="E63" s="60" t="s">
        <v>1643</v>
      </c>
      <c r="F63" s="3" t="s">
        <v>106</v>
      </c>
      <c r="G63" s="3" t="s">
        <v>178</v>
      </c>
      <c r="H63" s="6">
        <v>0.01</v>
      </c>
      <c r="I63" s="7">
        <v>0</v>
      </c>
      <c r="J63" s="6">
        <v>0.01</v>
      </c>
      <c r="K63" s="6">
        <v>0</v>
      </c>
      <c r="L63" s="7">
        <v>0</v>
      </c>
      <c r="M63" s="5" t="s">
        <v>108</v>
      </c>
      <c r="N63" s="5" t="s">
        <v>179</v>
      </c>
    </row>
    <row r="64" spans="1:14" ht="13.05" customHeight="1" x14ac:dyDescent="0.3">
      <c r="A64" s="3" t="s">
        <v>10</v>
      </c>
      <c r="B64" s="3" t="s">
        <v>11</v>
      </c>
      <c r="C64" s="4" t="s">
        <v>12</v>
      </c>
      <c r="D64" s="5" t="s">
        <v>180</v>
      </c>
      <c r="E64" s="60" t="s">
        <v>1643</v>
      </c>
      <c r="F64" s="3" t="s">
        <v>106</v>
      </c>
      <c r="G64" s="3" t="s">
        <v>178</v>
      </c>
      <c r="H64" s="6">
        <v>16566.39</v>
      </c>
      <c r="I64" s="7">
        <v>2.3000000000000001E-4</v>
      </c>
      <c r="J64" s="6">
        <v>61825.02</v>
      </c>
      <c r="K64" s="6">
        <v>-45258.63</v>
      </c>
      <c r="L64" s="7">
        <v>-6.2299999999999996E-4</v>
      </c>
      <c r="M64" s="5" t="s">
        <v>108</v>
      </c>
      <c r="N64" s="5" t="s">
        <v>180</v>
      </c>
    </row>
    <row r="65" spans="1:14" ht="13.05" customHeight="1" x14ac:dyDescent="0.3">
      <c r="A65" s="3" t="s">
        <v>10</v>
      </c>
      <c r="B65" s="3" t="s">
        <v>11</v>
      </c>
      <c r="C65" s="4" t="s">
        <v>12</v>
      </c>
      <c r="D65" s="5" t="s">
        <v>182</v>
      </c>
      <c r="E65" s="60" t="s">
        <v>1643</v>
      </c>
      <c r="F65" s="3" t="s">
        <v>106</v>
      </c>
      <c r="G65" s="3" t="s">
        <v>181</v>
      </c>
      <c r="H65" s="6">
        <v>28917.62</v>
      </c>
      <c r="I65" s="7">
        <v>4.0200000000000001E-4</v>
      </c>
      <c r="J65" s="6">
        <v>67177.72</v>
      </c>
      <c r="K65" s="6">
        <v>-38260.1</v>
      </c>
      <c r="L65" s="7">
        <v>-5.2599999999999999E-4</v>
      </c>
      <c r="M65" s="5" t="s">
        <v>108</v>
      </c>
      <c r="N65" s="5" t="s">
        <v>182</v>
      </c>
    </row>
    <row r="66" spans="1:14" ht="13.05" customHeight="1" x14ac:dyDescent="0.3">
      <c r="A66" s="3" t="s">
        <v>10</v>
      </c>
      <c r="B66" s="3" t="s">
        <v>11</v>
      </c>
      <c r="C66" s="4" t="s">
        <v>12</v>
      </c>
      <c r="D66" s="5" t="s">
        <v>184</v>
      </c>
      <c r="E66" s="60" t="s">
        <v>1637</v>
      </c>
      <c r="F66" s="3" t="s">
        <v>106</v>
      </c>
      <c r="G66" s="3" t="s">
        <v>183</v>
      </c>
      <c r="H66" s="6">
        <v>-4764.03</v>
      </c>
      <c r="I66" s="7">
        <v>-6.6000000000000005E-5</v>
      </c>
      <c r="J66" s="6">
        <v>-7663.34</v>
      </c>
      <c r="K66" s="6">
        <v>2899.31</v>
      </c>
      <c r="L66" s="7">
        <v>4.0000000000000003E-5</v>
      </c>
      <c r="M66" s="5" t="s">
        <v>108</v>
      </c>
      <c r="N66" s="5" t="s">
        <v>184</v>
      </c>
    </row>
    <row r="67" spans="1:14" ht="13.05" customHeight="1" x14ac:dyDescent="0.3">
      <c r="A67" s="3" t="s">
        <v>10</v>
      </c>
      <c r="B67" s="3" t="s">
        <v>11</v>
      </c>
      <c r="C67" s="4" t="s">
        <v>12</v>
      </c>
      <c r="D67" s="5" t="s">
        <v>186</v>
      </c>
      <c r="E67" s="60" t="s">
        <v>1637</v>
      </c>
      <c r="F67" s="3" t="s">
        <v>106</v>
      </c>
      <c r="G67" s="3" t="s">
        <v>185</v>
      </c>
      <c r="H67" s="6">
        <v>-2788.3</v>
      </c>
      <c r="I67" s="7">
        <v>-3.8999999999999999E-5</v>
      </c>
      <c r="J67" s="6">
        <v>-4921.72</v>
      </c>
      <c r="K67" s="6">
        <v>2133.42</v>
      </c>
      <c r="L67" s="7">
        <v>2.9E-5</v>
      </c>
      <c r="M67" s="5" t="s">
        <v>108</v>
      </c>
      <c r="N67" s="5" t="s">
        <v>186</v>
      </c>
    </row>
    <row r="68" spans="1:14" ht="13.05" customHeight="1" x14ac:dyDescent="0.3">
      <c r="A68" s="3" t="s">
        <v>10</v>
      </c>
      <c r="B68" s="3" t="s">
        <v>11</v>
      </c>
      <c r="C68" s="4" t="s">
        <v>12</v>
      </c>
      <c r="D68" s="5" t="s">
        <v>188</v>
      </c>
      <c r="E68" s="60" t="s">
        <v>1644</v>
      </c>
      <c r="F68" s="3" t="s">
        <v>106</v>
      </c>
      <c r="G68" s="3" t="s">
        <v>187</v>
      </c>
      <c r="H68" s="6">
        <v>-2618.86</v>
      </c>
      <c r="I68" s="7">
        <v>-3.6000000000000001E-5</v>
      </c>
      <c r="J68" s="6">
        <v>-6736.65</v>
      </c>
      <c r="K68" s="6">
        <v>4117.79</v>
      </c>
      <c r="L68" s="7">
        <v>5.7000000000000003E-5</v>
      </c>
      <c r="M68" s="5" t="s">
        <v>108</v>
      </c>
      <c r="N68" s="5" t="s">
        <v>188</v>
      </c>
    </row>
    <row r="69" spans="1:14" ht="13.05" customHeight="1" x14ac:dyDescent="0.3">
      <c r="A69" s="3" t="s">
        <v>10</v>
      </c>
      <c r="B69" s="3" t="s">
        <v>11</v>
      </c>
      <c r="C69" s="4" t="s">
        <v>12</v>
      </c>
      <c r="D69" s="5" t="s">
        <v>190</v>
      </c>
      <c r="E69" s="60" t="s">
        <v>1644</v>
      </c>
      <c r="F69" s="3" t="s">
        <v>106</v>
      </c>
      <c r="G69" s="3" t="s">
        <v>189</v>
      </c>
      <c r="H69" s="6">
        <v>-5252.03</v>
      </c>
      <c r="I69" s="7">
        <v>-7.2999999999999999E-5</v>
      </c>
      <c r="J69" s="6">
        <v>-1134.24</v>
      </c>
      <c r="K69" s="6">
        <v>-4117.79</v>
      </c>
      <c r="L69" s="7">
        <v>-5.7000000000000003E-5</v>
      </c>
      <c r="M69" s="5" t="s">
        <v>108</v>
      </c>
      <c r="N69" s="5" t="s">
        <v>190</v>
      </c>
    </row>
    <row r="70" spans="1:14" ht="13.05" customHeight="1" x14ac:dyDescent="0.3">
      <c r="A70" s="3" t="s">
        <v>10</v>
      </c>
      <c r="B70" s="3" t="s">
        <v>11</v>
      </c>
      <c r="C70" s="4" t="s">
        <v>12</v>
      </c>
      <c r="D70" s="5" t="s">
        <v>192</v>
      </c>
      <c r="E70" s="60" t="s">
        <v>1639</v>
      </c>
      <c r="F70" s="3" t="s">
        <v>106</v>
      </c>
      <c r="G70" s="3" t="s">
        <v>191</v>
      </c>
      <c r="H70" s="6">
        <v>-382.19</v>
      </c>
      <c r="I70" s="7">
        <v>-5.0000000000000004E-6</v>
      </c>
      <c r="J70" s="6">
        <v>-382.19</v>
      </c>
      <c r="K70" s="6">
        <v>0</v>
      </c>
      <c r="L70" s="7">
        <v>0</v>
      </c>
      <c r="M70" s="5" t="s">
        <v>108</v>
      </c>
      <c r="N70" s="5" t="s">
        <v>192</v>
      </c>
    </row>
    <row r="71" spans="1:14" ht="13.05" customHeight="1" x14ac:dyDescent="0.3">
      <c r="A71" s="3" t="s">
        <v>10</v>
      </c>
      <c r="B71" s="3" t="s">
        <v>11</v>
      </c>
      <c r="C71" s="4" t="s">
        <v>12</v>
      </c>
      <c r="D71" s="5" t="s">
        <v>194</v>
      </c>
      <c r="E71" s="61" t="s">
        <v>1645</v>
      </c>
      <c r="F71" s="3" t="s">
        <v>106</v>
      </c>
      <c r="G71" s="3" t="s">
        <v>193</v>
      </c>
      <c r="H71" s="6">
        <v>-690.83</v>
      </c>
      <c r="I71" s="7">
        <v>-1.0000000000000001E-5</v>
      </c>
      <c r="J71" s="6">
        <v>-1456.63</v>
      </c>
      <c r="K71" s="6">
        <v>765.8</v>
      </c>
      <c r="L71" s="7">
        <v>1.1E-5</v>
      </c>
      <c r="M71" s="5" t="s">
        <v>108</v>
      </c>
      <c r="N71" s="5" t="s">
        <v>194</v>
      </c>
    </row>
    <row r="72" spans="1:14" ht="13.05" customHeight="1" x14ac:dyDescent="0.3">
      <c r="A72" s="3" t="s">
        <v>10</v>
      </c>
      <c r="B72" s="3" t="s">
        <v>11</v>
      </c>
      <c r="C72" s="4" t="s">
        <v>12</v>
      </c>
      <c r="D72" s="5" t="s">
        <v>196</v>
      </c>
      <c r="E72" s="61" t="s">
        <v>1646</v>
      </c>
      <c r="F72" s="3" t="s">
        <v>106</v>
      </c>
      <c r="G72" s="3" t="s">
        <v>195</v>
      </c>
      <c r="H72" s="6">
        <v>690.83</v>
      </c>
      <c r="I72" s="7">
        <v>1.0000000000000001E-5</v>
      </c>
      <c r="J72" s="6">
        <v>2457.4699999999998</v>
      </c>
      <c r="K72" s="6">
        <v>-1766.64</v>
      </c>
      <c r="L72" s="7">
        <v>-2.4000000000000001E-5</v>
      </c>
      <c r="M72" s="5" t="s">
        <v>108</v>
      </c>
      <c r="N72" s="5" t="s">
        <v>196</v>
      </c>
    </row>
    <row r="73" spans="1:14" ht="13.05" customHeight="1" x14ac:dyDescent="0.3">
      <c r="A73" s="3" t="s">
        <v>10</v>
      </c>
      <c r="B73" s="3" t="s">
        <v>11</v>
      </c>
      <c r="C73" s="4" t="s">
        <v>12</v>
      </c>
      <c r="D73" s="5" t="s">
        <v>198</v>
      </c>
      <c r="E73" s="60" t="s">
        <v>1637</v>
      </c>
      <c r="F73" s="3" t="s">
        <v>106</v>
      </c>
      <c r="G73" s="3" t="s">
        <v>197</v>
      </c>
      <c r="H73" s="6">
        <v>-1122.97</v>
      </c>
      <c r="I73" s="7">
        <v>-1.5999999999999999E-5</v>
      </c>
      <c r="J73" s="6">
        <v>-1982.2</v>
      </c>
      <c r="K73" s="6">
        <v>859.23</v>
      </c>
      <c r="L73" s="7">
        <v>1.2E-5</v>
      </c>
      <c r="M73" s="5" t="s">
        <v>108</v>
      </c>
      <c r="N73" s="5" t="s">
        <v>198</v>
      </c>
    </row>
    <row r="74" spans="1:14" ht="13.05" customHeight="1" x14ac:dyDescent="0.3">
      <c r="A74" s="3" t="s">
        <v>10</v>
      </c>
      <c r="B74" s="3" t="s">
        <v>11</v>
      </c>
      <c r="C74" s="4" t="s">
        <v>12</v>
      </c>
      <c r="D74" s="5" t="s">
        <v>200</v>
      </c>
      <c r="E74" s="60" t="s">
        <v>1637</v>
      </c>
      <c r="F74" s="3" t="s">
        <v>106</v>
      </c>
      <c r="G74" s="3" t="s">
        <v>199</v>
      </c>
      <c r="H74" s="6">
        <v>-1107.25</v>
      </c>
      <c r="I74" s="7">
        <v>-1.5E-5</v>
      </c>
      <c r="J74" s="6">
        <v>-160.11000000000001</v>
      </c>
      <c r="K74" s="6">
        <v>-947.14</v>
      </c>
      <c r="L74" s="7">
        <v>-1.2999999999999999E-5</v>
      </c>
      <c r="M74" s="5" t="s">
        <v>108</v>
      </c>
      <c r="N74" s="5" t="s">
        <v>200</v>
      </c>
    </row>
    <row r="75" spans="1:14" ht="13.05" customHeight="1" x14ac:dyDescent="0.3">
      <c r="A75" s="10" t="s">
        <v>59</v>
      </c>
      <c r="B75" s="3"/>
      <c r="C75" s="4"/>
      <c r="D75" s="5"/>
      <c r="E75" s="4"/>
      <c r="F75" s="10" t="s">
        <v>106</v>
      </c>
      <c r="G75" s="3"/>
      <c r="H75" s="11">
        <v>-246282.71</v>
      </c>
      <c r="I75" s="12">
        <v>-3.4199999999999999E-3</v>
      </c>
      <c r="J75" s="11">
        <v>-183660.06</v>
      </c>
      <c r="K75" s="11">
        <v>-62622.65</v>
      </c>
      <c r="L75" s="12">
        <v>-8.6200000000000003E-4</v>
      </c>
      <c r="M75" s="5"/>
      <c r="N75" s="5"/>
    </row>
    <row r="76" spans="1:14" ht="13.05" customHeight="1" x14ac:dyDescent="0.3">
      <c r="A76" s="3"/>
      <c r="B76" s="3"/>
      <c r="C76" s="4"/>
      <c r="D76" s="5"/>
      <c r="E76" s="4"/>
      <c r="F76" s="3"/>
      <c r="G76" s="3"/>
      <c r="H76" s="6"/>
      <c r="I76" s="7"/>
      <c r="J76" s="6"/>
      <c r="K76" s="6"/>
      <c r="L76" s="7"/>
      <c r="M76" s="5"/>
      <c r="N76" s="5"/>
    </row>
    <row r="77" spans="1:14" ht="13.05" customHeight="1" x14ac:dyDescent="0.3">
      <c r="A77" s="10" t="s">
        <v>201</v>
      </c>
      <c r="B77" s="3"/>
      <c r="C77" s="4"/>
      <c r="D77" s="5"/>
      <c r="E77" s="4"/>
      <c r="F77" s="10"/>
      <c r="G77" s="3"/>
      <c r="H77" s="11">
        <v>72015275.430000007</v>
      </c>
      <c r="I77" s="12">
        <v>1</v>
      </c>
      <c r="J77" s="11">
        <v>72682602.890000001</v>
      </c>
      <c r="K77" s="11">
        <v>-667327.46</v>
      </c>
      <c r="L77" s="12">
        <v>-9.1809999999999999E-3</v>
      </c>
      <c r="M77" s="5"/>
      <c r="N7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70"/>
  <sheetViews>
    <sheetView topLeftCell="B1" workbookViewId="0">
      <selection activeCell="B7" sqref="B7"/>
    </sheetView>
  </sheetViews>
  <sheetFormatPr defaultRowHeight="14.4" x14ac:dyDescent="0.3"/>
  <cols>
    <col min="1" max="1" width="14" customWidth="1"/>
    <col min="2" max="2" width="28" customWidth="1"/>
    <col min="3" max="3" width="7.88671875" customWidth="1"/>
    <col min="4" max="4" width="25.88671875" customWidth="1"/>
    <col min="5" max="5" width="28" customWidth="1"/>
    <col min="6" max="6" width="11.77734375" customWidth="1"/>
    <col min="7" max="7" width="28" customWidth="1"/>
    <col min="8" max="10" width="14" customWidth="1"/>
    <col min="11" max="13" width="28" customWidth="1"/>
    <col min="14" max="14" width="14" customWidth="1"/>
    <col min="15" max="15" width="28" customWidth="1"/>
    <col min="16" max="16" width="14" customWidth="1"/>
    <col min="17" max="19" width="28" customWidth="1"/>
  </cols>
  <sheetData>
    <row r="1" spans="1:18" ht="24" customHeight="1" x14ac:dyDescent="0.3">
      <c r="A1" s="1" t="s">
        <v>0</v>
      </c>
      <c r="B1" s="1" t="s">
        <v>1</v>
      </c>
      <c r="C1" s="1" t="s">
        <v>270</v>
      </c>
      <c r="D1" s="1"/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5" t="s">
        <v>279</v>
      </c>
      <c r="N1" s="1" t="s">
        <v>280</v>
      </c>
      <c r="O1" s="1" t="s">
        <v>281</v>
      </c>
      <c r="P1" s="1" t="s">
        <v>282</v>
      </c>
      <c r="Q1" s="2" t="s">
        <v>283</v>
      </c>
      <c r="R1" s="2" t="s">
        <v>284</v>
      </c>
    </row>
    <row r="2" spans="1:18" ht="13.05" customHeight="1" x14ac:dyDescent="0.3">
      <c r="A2" s="3" t="s">
        <v>10</v>
      </c>
      <c r="B2" s="3" t="s">
        <v>11</v>
      </c>
      <c r="C2" s="3" t="s">
        <v>285</v>
      </c>
      <c r="D2" s="3"/>
      <c r="E2" s="3" t="s">
        <v>286</v>
      </c>
      <c r="F2" s="3" t="s">
        <v>287</v>
      </c>
      <c r="G2" s="3" t="s">
        <v>288</v>
      </c>
      <c r="H2" s="6">
        <v>179851640.96000001</v>
      </c>
      <c r="I2" s="6">
        <v>179851640.96000001</v>
      </c>
      <c r="J2" s="6">
        <v>0</v>
      </c>
      <c r="K2" s="7">
        <v>0</v>
      </c>
      <c r="L2" s="7">
        <v>2.4974099999999999</v>
      </c>
      <c r="M2" s="7"/>
      <c r="N2" s="6">
        <v>0</v>
      </c>
      <c r="O2" s="7">
        <v>0</v>
      </c>
      <c r="P2" s="3"/>
      <c r="Q2" s="5"/>
      <c r="R2" s="5"/>
    </row>
    <row r="3" spans="1:18" ht="13.05" customHeight="1" x14ac:dyDescent="0.3">
      <c r="A3" s="3" t="s">
        <v>10</v>
      </c>
      <c r="B3" s="3" t="s">
        <v>11</v>
      </c>
      <c r="C3" s="3" t="s">
        <v>285</v>
      </c>
      <c r="D3" s="46"/>
      <c r="E3" s="3" t="s">
        <v>286</v>
      </c>
      <c r="F3" s="3" t="s">
        <v>289</v>
      </c>
      <c r="G3" s="3" t="s">
        <v>290</v>
      </c>
      <c r="H3" s="6">
        <v>-69332901.760000005</v>
      </c>
      <c r="I3" s="6">
        <v>-69332901.760000005</v>
      </c>
      <c r="J3" s="6">
        <v>0</v>
      </c>
      <c r="K3" s="7">
        <v>0</v>
      </c>
      <c r="L3" s="7">
        <v>-0.96275299999999997</v>
      </c>
      <c r="M3" s="7"/>
      <c r="N3" s="6">
        <v>0</v>
      </c>
      <c r="O3" s="7">
        <v>0</v>
      </c>
      <c r="P3" s="3"/>
      <c r="Q3" s="5"/>
      <c r="R3" s="5"/>
    </row>
    <row r="4" spans="1:18" ht="13.05" customHeight="1" x14ac:dyDescent="0.3">
      <c r="A4" s="10" t="s">
        <v>59</v>
      </c>
      <c r="B4" s="3"/>
      <c r="C4" s="3"/>
      <c r="D4" s="3"/>
      <c r="E4" s="10" t="s">
        <v>286</v>
      </c>
      <c r="F4" s="3"/>
      <c r="G4" s="3"/>
      <c r="H4" s="11">
        <v>110518739.2</v>
      </c>
      <c r="I4" s="11">
        <v>110518739.2</v>
      </c>
      <c r="J4" s="11">
        <v>0</v>
      </c>
      <c r="K4" s="7"/>
      <c r="L4" s="7"/>
      <c r="M4" s="7"/>
      <c r="N4" s="11">
        <v>0</v>
      </c>
      <c r="O4" s="12">
        <v>0</v>
      </c>
      <c r="P4" s="3"/>
      <c r="Q4" s="5"/>
      <c r="R4" s="5"/>
    </row>
    <row r="5" spans="1:18" ht="13.05" customHeight="1" x14ac:dyDescent="0.3">
      <c r="A5" s="3" t="s">
        <v>10</v>
      </c>
      <c r="B5" s="3" t="s">
        <v>11</v>
      </c>
      <c r="C5" s="3" t="s">
        <v>291</v>
      </c>
      <c r="D5" s="3" t="s">
        <v>1604</v>
      </c>
      <c r="E5" s="3" t="s">
        <v>292</v>
      </c>
      <c r="F5" s="3" t="s">
        <v>293</v>
      </c>
      <c r="G5" s="3" t="s">
        <v>294</v>
      </c>
      <c r="H5" s="6">
        <v>729934.01</v>
      </c>
      <c r="I5" s="6">
        <v>673224.02</v>
      </c>
      <c r="J5" s="6">
        <v>56709.99</v>
      </c>
      <c r="K5" s="7">
        <v>-8.4981000000000001E-2</v>
      </c>
      <c r="L5" s="7">
        <v>1.0135999999999999E-2</v>
      </c>
      <c r="M5" s="7">
        <v>7.7999999999999999E-4</v>
      </c>
      <c r="N5" s="6">
        <v>0</v>
      </c>
      <c r="O5" s="7">
        <v>0</v>
      </c>
      <c r="P5" s="3"/>
      <c r="Q5" s="5"/>
      <c r="R5" s="5"/>
    </row>
    <row r="6" spans="1:18" ht="13.05" customHeight="1" x14ac:dyDescent="0.3">
      <c r="A6" s="3" t="s">
        <v>10</v>
      </c>
      <c r="B6" s="3" t="s">
        <v>11</v>
      </c>
      <c r="C6" s="3" t="s">
        <v>291</v>
      </c>
      <c r="D6" s="3" t="s">
        <v>1603</v>
      </c>
      <c r="E6" s="3" t="s">
        <v>292</v>
      </c>
      <c r="F6" s="3" t="s">
        <v>295</v>
      </c>
      <c r="G6" s="3" t="s">
        <v>296</v>
      </c>
      <c r="H6" s="49">
        <v>901376.48</v>
      </c>
      <c r="I6" s="6">
        <v>815434.96</v>
      </c>
      <c r="J6" s="6">
        <v>85941.52</v>
      </c>
      <c r="K6" s="7">
        <v>-0.12878500000000001</v>
      </c>
      <c r="L6" s="7">
        <v>1.2515999999999999E-2</v>
      </c>
      <c r="M6" s="7">
        <v>1.1820000000000001E-3</v>
      </c>
      <c r="N6" s="6">
        <v>0</v>
      </c>
      <c r="O6" s="7">
        <v>0</v>
      </c>
      <c r="P6" s="3"/>
      <c r="Q6" s="5"/>
      <c r="R6" s="5"/>
    </row>
    <row r="7" spans="1:18" ht="13.05" customHeight="1" x14ac:dyDescent="0.3">
      <c r="A7" s="3" t="s">
        <v>10</v>
      </c>
      <c r="B7" s="3" t="s">
        <v>11</v>
      </c>
      <c r="C7" s="3" t="s">
        <v>291</v>
      </c>
      <c r="D7" s="3" t="s">
        <v>1603</v>
      </c>
      <c r="E7" s="3" t="s">
        <v>292</v>
      </c>
      <c r="F7" s="3" t="s">
        <v>297</v>
      </c>
      <c r="G7" s="3" t="s">
        <v>298</v>
      </c>
      <c r="H7" s="49">
        <v>-26452.89</v>
      </c>
      <c r="I7" s="6">
        <v>4737.33</v>
      </c>
      <c r="J7" s="6">
        <v>-31190.22</v>
      </c>
      <c r="K7" s="7">
        <v>4.6739000000000003E-2</v>
      </c>
      <c r="L7" s="7">
        <v>-3.6699999999999998E-4</v>
      </c>
      <c r="M7" s="7">
        <v>-4.2900000000000002E-4</v>
      </c>
      <c r="N7" s="6">
        <v>0</v>
      </c>
      <c r="O7" s="7">
        <v>0</v>
      </c>
      <c r="P7" s="3"/>
      <c r="Q7" s="5"/>
      <c r="R7" s="5"/>
    </row>
    <row r="8" spans="1:18" ht="13.05" customHeight="1" x14ac:dyDescent="0.3">
      <c r="A8" s="10" t="s">
        <v>59</v>
      </c>
      <c r="B8" s="3"/>
      <c r="C8" s="3"/>
      <c r="D8" s="3"/>
      <c r="E8" s="10" t="s">
        <v>292</v>
      </c>
      <c r="F8" s="3"/>
      <c r="G8" s="3"/>
      <c r="H8" s="11">
        <v>1604857.6</v>
      </c>
      <c r="I8" s="11">
        <v>1493396.31</v>
      </c>
      <c r="J8" s="11">
        <v>111461.29</v>
      </c>
      <c r="K8" s="7"/>
      <c r="L8" s="7"/>
      <c r="M8" s="7"/>
      <c r="N8" s="11">
        <v>0</v>
      </c>
      <c r="O8" s="12">
        <v>0</v>
      </c>
      <c r="P8" s="3"/>
      <c r="Q8" s="5"/>
      <c r="R8" s="5"/>
    </row>
    <row r="9" spans="1:18" ht="13.05" customHeight="1" x14ac:dyDescent="0.3">
      <c r="A9" s="3" t="s">
        <v>10</v>
      </c>
      <c r="B9" s="3" t="s">
        <v>11</v>
      </c>
      <c r="C9" s="3" t="s">
        <v>299</v>
      </c>
      <c r="D9" s="3" t="s">
        <v>1603</v>
      </c>
      <c r="E9" s="3" t="s">
        <v>300</v>
      </c>
      <c r="F9" s="3" t="s">
        <v>301</v>
      </c>
      <c r="G9" s="3" t="s">
        <v>302</v>
      </c>
      <c r="H9" s="49">
        <v>327926.18</v>
      </c>
      <c r="I9" s="6">
        <v>300633.93</v>
      </c>
      <c r="J9" s="6">
        <v>27292.25</v>
      </c>
      <c r="K9" s="7">
        <v>-4.0897999999999997E-2</v>
      </c>
      <c r="L9" s="7">
        <v>4.5539999999999999E-3</v>
      </c>
      <c r="M9" s="7">
        <v>3.7500000000000001E-4</v>
      </c>
      <c r="N9" s="6">
        <v>0</v>
      </c>
      <c r="O9" s="7">
        <v>0</v>
      </c>
      <c r="P9" s="3"/>
      <c r="Q9" s="5"/>
      <c r="R9" s="5"/>
    </row>
    <row r="10" spans="1:18" ht="13.05" customHeight="1" x14ac:dyDescent="0.3">
      <c r="A10" s="10" t="s">
        <v>59</v>
      </c>
      <c r="B10" s="3"/>
      <c r="C10" s="3"/>
      <c r="D10" s="3"/>
      <c r="E10" s="10" t="s">
        <v>300</v>
      </c>
      <c r="F10" s="3"/>
      <c r="G10" s="3"/>
      <c r="H10" s="11">
        <v>327926.18</v>
      </c>
      <c r="I10" s="11">
        <v>300633.93</v>
      </c>
      <c r="J10" s="11">
        <v>27292.25</v>
      </c>
      <c r="K10" s="7"/>
      <c r="L10" s="7"/>
      <c r="M10" s="7"/>
      <c r="N10" s="11">
        <v>0</v>
      </c>
      <c r="O10" s="12">
        <v>0</v>
      </c>
      <c r="P10" s="3"/>
      <c r="Q10" s="5"/>
      <c r="R10" s="5"/>
    </row>
    <row r="11" spans="1:18" ht="13.05" customHeight="1" x14ac:dyDescent="0.3">
      <c r="A11" s="3" t="s">
        <v>10</v>
      </c>
      <c r="B11" s="3" t="s">
        <v>11</v>
      </c>
      <c r="C11" s="3" t="s">
        <v>303</v>
      </c>
      <c r="D11" s="3" t="s">
        <v>1592</v>
      </c>
      <c r="E11" s="3" t="s">
        <v>304</v>
      </c>
      <c r="F11" s="3" t="s">
        <v>305</v>
      </c>
      <c r="G11" s="3" t="s">
        <v>306</v>
      </c>
      <c r="H11" s="6">
        <v>2137398.06</v>
      </c>
      <c r="I11" s="6">
        <v>2137398.06</v>
      </c>
      <c r="J11" s="6">
        <v>0</v>
      </c>
      <c r="K11" s="7">
        <v>0</v>
      </c>
      <c r="L11" s="7">
        <v>2.9680000000000002E-2</v>
      </c>
      <c r="M11" s="7">
        <v>0</v>
      </c>
      <c r="N11" s="6">
        <v>0</v>
      </c>
      <c r="O11" s="7">
        <v>0</v>
      </c>
      <c r="P11" s="3"/>
      <c r="Q11" s="5"/>
      <c r="R11" s="5"/>
    </row>
    <row r="12" spans="1:18" ht="13.05" customHeight="1" x14ac:dyDescent="0.3">
      <c r="A12" s="10" t="s">
        <v>59</v>
      </c>
      <c r="B12" s="3"/>
      <c r="C12" s="3"/>
      <c r="D12" s="3"/>
      <c r="E12" s="10" t="s">
        <v>304</v>
      </c>
      <c r="F12" s="3" t="s">
        <v>1602</v>
      </c>
      <c r="G12" s="3"/>
      <c r="H12" s="11">
        <v>2137398.06</v>
      </c>
      <c r="I12" s="11">
        <v>2137398.06</v>
      </c>
      <c r="J12" s="11">
        <v>0</v>
      </c>
      <c r="K12" s="7"/>
      <c r="L12" s="7"/>
      <c r="M12" s="7"/>
      <c r="N12" s="11">
        <v>0</v>
      </c>
      <c r="O12" s="12">
        <v>0</v>
      </c>
      <c r="P12" s="3"/>
      <c r="Q12" s="5"/>
      <c r="R12" s="5"/>
    </row>
    <row r="13" spans="1:18" ht="13.05" customHeight="1" x14ac:dyDescent="0.3">
      <c r="A13" s="3" t="s">
        <v>10</v>
      </c>
      <c r="B13" s="3" t="s">
        <v>11</v>
      </c>
      <c r="C13" s="3" t="s">
        <v>307</v>
      </c>
      <c r="D13" s="3" t="s">
        <v>1593</v>
      </c>
      <c r="E13" s="3" t="s">
        <v>308</v>
      </c>
      <c r="F13" s="3" t="s">
        <v>309</v>
      </c>
      <c r="G13" s="3" t="s">
        <v>310</v>
      </c>
      <c r="H13" s="6">
        <v>-3062.22</v>
      </c>
      <c r="I13" s="6">
        <v>-2773.58</v>
      </c>
      <c r="J13" s="6">
        <v>-288.64</v>
      </c>
      <c r="K13" s="7">
        <v>4.3300000000000001E-4</v>
      </c>
      <c r="L13" s="7">
        <v>-4.3000000000000002E-5</v>
      </c>
      <c r="M13" s="7">
        <v>-3.9999999999999998E-6</v>
      </c>
      <c r="N13" s="6">
        <v>0</v>
      </c>
      <c r="O13" s="7">
        <v>0</v>
      </c>
      <c r="P13" s="3"/>
      <c r="Q13" s="5"/>
      <c r="R13" s="5"/>
    </row>
    <row r="14" spans="1:18" ht="13.05" customHeight="1" x14ac:dyDescent="0.3">
      <c r="A14" s="3" t="s">
        <v>10</v>
      </c>
      <c r="B14" s="3" t="s">
        <v>11</v>
      </c>
      <c r="C14" s="3" t="s">
        <v>307</v>
      </c>
      <c r="D14" s="3" t="s">
        <v>1605</v>
      </c>
      <c r="E14" s="3" t="s">
        <v>308</v>
      </c>
      <c r="F14" s="3" t="s">
        <v>311</v>
      </c>
      <c r="G14" s="3" t="s">
        <v>312</v>
      </c>
      <c r="H14" s="48">
        <v>-4100</v>
      </c>
      <c r="I14" s="6">
        <v>-4100</v>
      </c>
      <c r="J14" s="6">
        <v>0</v>
      </c>
      <c r="K14" s="7">
        <v>0</v>
      </c>
      <c r="L14" s="7">
        <v>-5.7000000000000003E-5</v>
      </c>
      <c r="M14" s="7">
        <v>0</v>
      </c>
      <c r="N14" s="6">
        <v>0</v>
      </c>
      <c r="O14" s="7">
        <v>0</v>
      </c>
      <c r="P14" s="3"/>
      <c r="Q14" s="5"/>
      <c r="R14" s="5"/>
    </row>
    <row r="15" spans="1:18" ht="13.05" customHeight="1" x14ac:dyDescent="0.3">
      <c r="A15" s="10" t="s">
        <v>59</v>
      </c>
      <c r="B15" s="3"/>
      <c r="C15" s="3"/>
      <c r="D15" s="3"/>
      <c r="E15" s="10" t="s">
        <v>308</v>
      </c>
      <c r="F15" s="3"/>
      <c r="G15" s="3"/>
      <c r="H15" s="11">
        <v>-7162.22</v>
      </c>
      <c r="I15" s="11">
        <v>-6873.58</v>
      </c>
      <c r="J15" s="11">
        <v>-288.64</v>
      </c>
      <c r="K15" s="7"/>
      <c r="L15" s="7"/>
      <c r="M15" s="7"/>
      <c r="N15" s="11">
        <v>0</v>
      </c>
      <c r="O15" s="12">
        <v>0</v>
      </c>
      <c r="P15" s="3"/>
      <c r="Q15" s="5"/>
      <c r="R15" s="5"/>
    </row>
    <row r="16" spans="1:18" ht="13.05" customHeight="1" x14ac:dyDescent="0.3">
      <c r="A16" s="3" t="s">
        <v>10</v>
      </c>
      <c r="B16" s="3" t="s">
        <v>11</v>
      </c>
      <c r="C16" s="3" t="s">
        <v>313</v>
      </c>
      <c r="D16" s="3" t="s">
        <v>1598</v>
      </c>
      <c r="E16" s="3" t="s">
        <v>106</v>
      </c>
      <c r="F16" s="3" t="s">
        <v>314</v>
      </c>
      <c r="G16" s="3" t="s">
        <v>315</v>
      </c>
      <c r="H16" s="6">
        <v>-35258.61</v>
      </c>
      <c r="I16" s="6">
        <v>-33165.160000000003</v>
      </c>
      <c r="J16" s="6">
        <v>-2093.4499999999998</v>
      </c>
      <c r="K16" s="7">
        <v>3.137E-3</v>
      </c>
      <c r="L16" s="7">
        <v>-4.8999999999999998E-4</v>
      </c>
      <c r="M16" s="7">
        <v>-2.9E-5</v>
      </c>
      <c r="N16" s="6">
        <v>-34569.040000000001</v>
      </c>
      <c r="O16" s="7">
        <v>-4.7600000000000002E-4</v>
      </c>
      <c r="P16" s="3"/>
      <c r="Q16" s="5"/>
      <c r="R16" s="5"/>
    </row>
    <row r="17" spans="1:18" ht="13.05" customHeight="1" x14ac:dyDescent="0.3">
      <c r="A17" s="3" t="s">
        <v>10</v>
      </c>
      <c r="B17" s="3" t="s">
        <v>11</v>
      </c>
      <c r="C17" s="3" t="s">
        <v>313</v>
      </c>
      <c r="D17" s="3" t="s">
        <v>1599</v>
      </c>
      <c r="E17" s="3" t="s">
        <v>106</v>
      </c>
      <c r="F17" s="3" t="s">
        <v>316</v>
      </c>
      <c r="G17" s="3" t="s">
        <v>317</v>
      </c>
      <c r="H17" s="6">
        <v>-2700.63</v>
      </c>
      <c r="I17" s="6">
        <v>-2471.31</v>
      </c>
      <c r="J17" s="6">
        <v>-229.32</v>
      </c>
      <c r="K17" s="7">
        <v>3.4400000000000001E-4</v>
      </c>
      <c r="L17" s="7">
        <v>-3.8000000000000002E-5</v>
      </c>
      <c r="M17" s="7">
        <v>-3.0000000000000001E-6</v>
      </c>
      <c r="N17" s="6">
        <v>-229.32</v>
      </c>
      <c r="O17" s="7">
        <v>-3.0000000000000001E-6</v>
      </c>
      <c r="P17" s="3"/>
      <c r="Q17" s="5"/>
      <c r="R17" s="5"/>
    </row>
    <row r="18" spans="1:18" ht="13.05" customHeight="1" x14ac:dyDescent="0.3">
      <c r="A18" s="3" t="s">
        <v>10</v>
      </c>
      <c r="B18" s="3" t="s">
        <v>11</v>
      </c>
      <c r="C18" s="3" t="s">
        <v>313</v>
      </c>
      <c r="D18" s="3" t="s">
        <v>1599</v>
      </c>
      <c r="E18" s="3" t="s">
        <v>106</v>
      </c>
      <c r="F18" s="3" t="s">
        <v>318</v>
      </c>
      <c r="G18" s="3" t="s">
        <v>319</v>
      </c>
      <c r="H18" s="6">
        <v>-3600.84</v>
      </c>
      <c r="I18" s="6">
        <v>-3295.09</v>
      </c>
      <c r="J18" s="6">
        <v>-305.75</v>
      </c>
      <c r="K18" s="7">
        <v>4.5800000000000002E-4</v>
      </c>
      <c r="L18" s="7">
        <v>-5.0000000000000002E-5</v>
      </c>
      <c r="M18" s="7">
        <v>-3.9999999999999998E-6</v>
      </c>
      <c r="N18" s="6">
        <v>-305.75</v>
      </c>
      <c r="O18" s="7">
        <v>-3.9999999999999998E-6</v>
      </c>
      <c r="P18" s="3"/>
      <c r="Q18" s="5"/>
      <c r="R18" s="5"/>
    </row>
    <row r="19" spans="1:18" ht="13.05" customHeight="1" x14ac:dyDescent="0.3">
      <c r="A19" s="3" t="s">
        <v>10</v>
      </c>
      <c r="B19" s="3" t="s">
        <v>11</v>
      </c>
      <c r="C19" s="3" t="s">
        <v>313</v>
      </c>
      <c r="D19" s="3" t="s">
        <v>1599</v>
      </c>
      <c r="E19" s="3" t="s">
        <v>106</v>
      </c>
      <c r="F19" s="3" t="s">
        <v>320</v>
      </c>
      <c r="G19" s="3" t="s">
        <v>321</v>
      </c>
      <c r="H19" s="6">
        <v>-6676.2</v>
      </c>
      <c r="I19" s="6">
        <v>-6182.36</v>
      </c>
      <c r="J19" s="6">
        <v>-493.84</v>
      </c>
      <c r="K19" s="7">
        <v>7.3999999999999999E-4</v>
      </c>
      <c r="L19" s="7">
        <v>-9.2999999999999997E-5</v>
      </c>
      <c r="M19" s="7">
        <v>-6.9999999999999999E-6</v>
      </c>
      <c r="N19" s="6">
        <v>-493.84</v>
      </c>
      <c r="O19" s="7">
        <v>-6.9999999999999999E-6</v>
      </c>
      <c r="P19" s="3"/>
      <c r="Q19" s="5"/>
      <c r="R19" s="5"/>
    </row>
    <row r="20" spans="1:18" ht="13.05" customHeight="1" x14ac:dyDescent="0.3">
      <c r="A20" s="3" t="s">
        <v>10</v>
      </c>
      <c r="B20" s="3" t="s">
        <v>11</v>
      </c>
      <c r="C20" s="3" t="s">
        <v>313</v>
      </c>
      <c r="D20" s="3" t="s">
        <v>1606</v>
      </c>
      <c r="E20" s="3" t="s">
        <v>106</v>
      </c>
      <c r="F20" s="3" t="s">
        <v>322</v>
      </c>
      <c r="G20" s="3" t="s">
        <v>323</v>
      </c>
      <c r="H20" s="48">
        <v>-21410.65</v>
      </c>
      <c r="I20" s="6">
        <v>-19700.89</v>
      </c>
      <c r="J20" s="6">
        <v>-1709.76</v>
      </c>
      <c r="K20" s="7">
        <v>2.562E-3</v>
      </c>
      <c r="L20" s="7">
        <v>-2.9700000000000001E-4</v>
      </c>
      <c r="M20" s="7">
        <v>-2.4000000000000001E-5</v>
      </c>
      <c r="N20" s="6">
        <v>-1709.76</v>
      </c>
      <c r="O20" s="7">
        <v>-2.4000000000000001E-5</v>
      </c>
      <c r="P20" s="3"/>
      <c r="Q20" s="5"/>
      <c r="R20" s="5"/>
    </row>
    <row r="21" spans="1:18" ht="13.05" customHeight="1" x14ac:dyDescent="0.3">
      <c r="A21" s="3" t="s">
        <v>10</v>
      </c>
      <c r="B21" s="3" t="s">
        <v>11</v>
      </c>
      <c r="C21" s="3" t="s">
        <v>313</v>
      </c>
      <c r="D21" s="3" t="s">
        <v>1595</v>
      </c>
      <c r="E21" s="3" t="s">
        <v>106</v>
      </c>
      <c r="F21" s="3" t="s">
        <v>324</v>
      </c>
      <c r="G21" s="3" t="s">
        <v>325</v>
      </c>
      <c r="H21" s="6">
        <v>25213.439999999999</v>
      </c>
      <c r="I21" s="6">
        <v>28186.04</v>
      </c>
      <c r="J21" s="6">
        <v>-2972.6</v>
      </c>
      <c r="K21" s="7">
        <v>4.4539999999999996E-3</v>
      </c>
      <c r="L21" s="7">
        <v>3.5E-4</v>
      </c>
      <c r="M21" s="7">
        <v>-4.1E-5</v>
      </c>
      <c r="N21" s="6">
        <v>-2972.6</v>
      </c>
      <c r="O21" s="7">
        <v>-4.1E-5</v>
      </c>
      <c r="P21" s="3"/>
      <c r="Q21" s="5"/>
      <c r="R21" s="5"/>
    </row>
    <row r="22" spans="1:18" ht="13.05" customHeight="1" x14ac:dyDescent="0.3">
      <c r="A22" s="3" t="s">
        <v>10</v>
      </c>
      <c r="B22" s="3" t="s">
        <v>11</v>
      </c>
      <c r="C22" s="3" t="s">
        <v>313</v>
      </c>
      <c r="D22" s="3" t="s">
        <v>1607</v>
      </c>
      <c r="E22" s="3" t="s">
        <v>106</v>
      </c>
      <c r="F22" s="3" t="s">
        <v>326</v>
      </c>
      <c r="G22" s="3" t="s">
        <v>327</v>
      </c>
      <c r="H22" s="6">
        <v>-861.13</v>
      </c>
      <c r="I22" s="6">
        <v>-773.22</v>
      </c>
      <c r="J22" s="6">
        <v>-87.91</v>
      </c>
      <c r="K22" s="7">
        <v>1.3200000000000001E-4</v>
      </c>
      <c r="L22" s="7">
        <v>-1.2E-5</v>
      </c>
      <c r="M22" s="7">
        <v>-9.9999999999999995E-7</v>
      </c>
      <c r="N22" s="6">
        <v>-87.91</v>
      </c>
      <c r="O22" s="7">
        <v>-9.9999999999999995E-7</v>
      </c>
      <c r="P22" s="3"/>
      <c r="Q22" s="5"/>
      <c r="R22" s="5"/>
    </row>
    <row r="23" spans="1:18" ht="13.05" customHeight="1" x14ac:dyDescent="0.3">
      <c r="A23" s="3" t="s">
        <v>10</v>
      </c>
      <c r="B23" s="3" t="s">
        <v>11</v>
      </c>
      <c r="C23" s="3" t="s">
        <v>313</v>
      </c>
      <c r="D23" s="3" t="s">
        <v>1608</v>
      </c>
      <c r="E23" s="3" t="s">
        <v>106</v>
      </c>
      <c r="F23" s="3" t="s">
        <v>328</v>
      </c>
      <c r="G23" s="3" t="s">
        <v>329</v>
      </c>
      <c r="H23" s="6">
        <v>-4392.1099999999997</v>
      </c>
      <c r="I23" s="6">
        <v>-4019.17</v>
      </c>
      <c r="J23" s="6">
        <v>-372.94</v>
      </c>
      <c r="K23" s="7">
        <v>5.5900000000000004E-4</v>
      </c>
      <c r="L23" s="7">
        <v>-6.0999999999999999E-5</v>
      </c>
      <c r="M23" s="7">
        <v>-5.0000000000000004E-6</v>
      </c>
      <c r="N23" s="6">
        <v>-372.94</v>
      </c>
      <c r="O23" s="7">
        <v>-5.0000000000000004E-6</v>
      </c>
      <c r="P23" s="3"/>
      <c r="Q23" s="5"/>
      <c r="R23" s="5"/>
    </row>
    <row r="24" spans="1:18" ht="13.05" customHeight="1" x14ac:dyDescent="0.3">
      <c r="A24" s="3" t="s">
        <v>10</v>
      </c>
      <c r="B24" s="3" t="s">
        <v>11</v>
      </c>
      <c r="C24" s="3" t="s">
        <v>313</v>
      </c>
      <c r="D24" s="3" t="s">
        <v>1609</v>
      </c>
      <c r="E24" s="3" t="s">
        <v>106</v>
      </c>
      <c r="F24" s="3" t="s">
        <v>330</v>
      </c>
      <c r="G24" s="3" t="s">
        <v>331</v>
      </c>
      <c r="H24" s="6">
        <v>-2570.62</v>
      </c>
      <c r="I24" s="6">
        <v>-2352.35</v>
      </c>
      <c r="J24" s="6">
        <v>-218.27</v>
      </c>
      <c r="K24" s="7">
        <v>3.2699999999999998E-4</v>
      </c>
      <c r="L24" s="7">
        <v>-3.6000000000000001E-5</v>
      </c>
      <c r="M24" s="7">
        <v>-3.0000000000000001E-6</v>
      </c>
      <c r="N24" s="6">
        <v>-218.27</v>
      </c>
      <c r="O24" s="7">
        <v>-3.0000000000000001E-6</v>
      </c>
      <c r="P24" s="3"/>
      <c r="Q24" s="5"/>
      <c r="R24" s="5"/>
    </row>
    <row r="25" spans="1:18" ht="13.05" customHeight="1" x14ac:dyDescent="0.3">
      <c r="A25" s="3" t="s">
        <v>10</v>
      </c>
      <c r="B25" s="3" t="s">
        <v>11</v>
      </c>
      <c r="C25" s="3" t="s">
        <v>313</v>
      </c>
      <c r="D25" s="3" t="s">
        <v>1610</v>
      </c>
      <c r="E25" s="3" t="s">
        <v>106</v>
      </c>
      <c r="F25" s="3" t="s">
        <v>332</v>
      </c>
      <c r="G25" s="3" t="s">
        <v>333</v>
      </c>
      <c r="H25" s="6">
        <v>-6724.55</v>
      </c>
      <c r="I25" s="6">
        <v>-6153.56</v>
      </c>
      <c r="J25" s="6">
        <v>-570.99</v>
      </c>
      <c r="K25" s="7">
        <v>8.5599999999999999E-4</v>
      </c>
      <c r="L25" s="7">
        <v>-9.2999999999999997E-5</v>
      </c>
      <c r="M25" s="7">
        <v>-7.9999999999999996E-6</v>
      </c>
      <c r="N25" s="6">
        <v>-570.99</v>
      </c>
      <c r="O25" s="7">
        <v>-7.9999999999999996E-6</v>
      </c>
      <c r="P25" s="3"/>
      <c r="Q25" s="5"/>
      <c r="R25" s="5"/>
    </row>
    <row r="26" spans="1:18" ht="13.05" customHeight="1" x14ac:dyDescent="0.3">
      <c r="A26" s="3" t="s">
        <v>10</v>
      </c>
      <c r="B26" s="3" t="s">
        <v>11</v>
      </c>
      <c r="C26" s="3" t="s">
        <v>313</v>
      </c>
      <c r="D26" s="3" t="s">
        <v>1611</v>
      </c>
      <c r="E26" s="3" t="s">
        <v>106</v>
      </c>
      <c r="F26" s="3" t="s">
        <v>334</v>
      </c>
      <c r="G26" s="3" t="s">
        <v>335</v>
      </c>
      <c r="H26" s="6">
        <v>-2416.08</v>
      </c>
      <c r="I26" s="6">
        <v>-686.47</v>
      </c>
      <c r="J26" s="6">
        <v>-1729.61</v>
      </c>
      <c r="K26" s="7">
        <v>2.5920000000000001E-3</v>
      </c>
      <c r="L26" s="7">
        <v>-3.4E-5</v>
      </c>
      <c r="M26" s="7">
        <v>-2.4000000000000001E-5</v>
      </c>
      <c r="N26" s="6">
        <v>-63.52</v>
      </c>
      <c r="O26" s="7">
        <v>-9.9999999999999995E-7</v>
      </c>
      <c r="P26" s="3"/>
      <c r="Q26" s="5"/>
      <c r="R26" s="5"/>
    </row>
    <row r="27" spans="1:18" ht="13.05" customHeight="1" x14ac:dyDescent="0.3">
      <c r="A27" s="3" t="s">
        <v>10</v>
      </c>
      <c r="B27" s="3" t="s">
        <v>11</v>
      </c>
      <c r="C27" s="3" t="s">
        <v>313</v>
      </c>
      <c r="D27" s="3" t="s">
        <v>1594</v>
      </c>
      <c r="E27" s="3" t="s">
        <v>106</v>
      </c>
      <c r="F27" s="3" t="s">
        <v>336</v>
      </c>
      <c r="G27" s="3" t="s">
        <v>337</v>
      </c>
      <c r="H27" s="6">
        <v>-50071.519999999997</v>
      </c>
      <c r="I27" s="6">
        <v>-46367.69</v>
      </c>
      <c r="J27" s="6">
        <v>-3703.83</v>
      </c>
      <c r="K27" s="7">
        <v>5.5500000000000002E-3</v>
      </c>
      <c r="L27" s="7">
        <v>-6.9499999999999998E-4</v>
      </c>
      <c r="M27" s="7">
        <v>-5.1E-5</v>
      </c>
      <c r="N27" s="6">
        <v>-3703.83</v>
      </c>
      <c r="O27" s="7">
        <v>-5.1E-5</v>
      </c>
      <c r="P27" s="3"/>
      <c r="Q27" s="5"/>
      <c r="R27" s="5"/>
    </row>
    <row r="28" spans="1:18" ht="13.05" customHeight="1" x14ac:dyDescent="0.3">
      <c r="A28" s="3" t="s">
        <v>10</v>
      </c>
      <c r="B28" s="3" t="s">
        <v>11</v>
      </c>
      <c r="C28" s="3" t="s">
        <v>313</v>
      </c>
      <c r="D28" s="3" t="s">
        <v>1612</v>
      </c>
      <c r="E28" s="3" t="s">
        <v>106</v>
      </c>
      <c r="F28" s="3" t="s">
        <v>338</v>
      </c>
      <c r="G28" s="3" t="s">
        <v>339</v>
      </c>
      <c r="H28" s="6">
        <v>-13840.71</v>
      </c>
      <c r="I28" s="6">
        <v>-12665.47</v>
      </c>
      <c r="J28" s="6">
        <v>-1175.24</v>
      </c>
      <c r="K28" s="7">
        <v>1.761E-3</v>
      </c>
      <c r="L28" s="7">
        <v>-1.92E-4</v>
      </c>
      <c r="M28" s="7">
        <v>-1.5999999999999999E-5</v>
      </c>
      <c r="N28" s="6">
        <v>-1175.24</v>
      </c>
      <c r="O28" s="7">
        <v>-1.5999999999999999E-5</v>
      </c>
      <c r="P28" s="3"/>
      <c r="Q28" s="5"/>
      <c r="R28" s="5"/>
    </row>
    <row r="29" spans="1:18" ht="13.05" customHeight="1" x14ac:dyDescent="0.3">
      <c r="A29" s="3" t="s">
        <v>10</v>
      </c>
      <c r="B29" s="3" t="s">
        <v>11</v>
      </c>
      <c r="C29" s="3" t="s">
        <v>313</v>
      </c>
      <c r="D29" s="3" t="s">
        <v>1594</v>
      </c>
      <c r="E29" s="3" t="s">
        <v>106</v>
      </c>
      <c r="F29" s="3" t="s">
        <v>340</v>
      </c>
      <c r="G29" s="3" t="s">
        <v>341</v>
      </c>
      <c r="H29" s="6">
        <v>-4984.3900000000003</v>
      </c>
      <c r="I29" s="6">
        <v>-574.34</v>
      </c>
      <c r="J29" s="6">
        <v>-4410.05</v>
      </c>
      <c r="K29" s="7">
        <v>6.6090000000000003E-3</v>
      </c>
      <c r="L29" s="7">
        <v>-6.8999999999999997E-5</v>
      </c>
      <c r="M29" s="7">
        <v>-6.0999999999999999E-5</v>
      </c>
      <c r="N29" s="6">
        <v>-53.29</v>
      </c>
      <c r="O29" s="7">
        <v>-9.9999999999999995E-7</v>
      </c>
      <c r="P29" s="3"/>
      <c r="Q29" s="5"/>
      <c r="R29" s="5"/>
    </row>
    <row r="30" spans="1:18" ht="13.05" customHeight="1" x14ac:dyDescent="0.3">
      <c r="A30" s="3" t="s">
        <v>10</v>
      </c>
      <c r="B30" s="3" t="s">
        <v>11</v>
      </c>
      <c r="C30" s="3" t="s">
        <v>313</v>
      </c>
      <c r="D30" s="3" t="s">
        <v>1593</v>
      </c>
      <c r="E30" s="3" t="s">
        <v>106</v>
      </c>
      <c r="F30" s="3" t="s">
        <v>342</v>
      </c>
      <c r="G30" s="3" t="s">
        <v>343</v>
      </c>
      <c r="H30" s="6">
        <v>-21854.01</v>
      </c>
      <c r="I30" s="6">
        <v>-14175.86</v>
      </c>
      <c r="J30" s="6">
        <v>-7678.15</v>
      </c>
      <c r="K30" s="7">
        <v>1.1506000000000001E-2</v>
      </c>
      <c r="L30" s="7">
        <v>-3.0299999999999999E-4</v>
      </c>
      <c r="M30" s="7">
        <v>-1.06E-4</v>
      </c>
      <c r="N30" s="6">
        <v>-934.25</v>
      </c>
      <c r="O30" s="7">
        <v>-1.2999999999999999E-5</v>
      </c>
      <c r="P30" s="3"/>
      <c r="Q30" s="5"/>
      <c r="R30" s="5"/>
    </row>
    <row r="31" spans="1:18" ht="13.05" customHeight="1" x14ac:dyDescent="0.3">
      <c r="A31" s="3" t="s">
        <v>10</v>
      </c>
      <c r="B31" s="3" t="s">
        <v>11</v>
      </c>
      <c r="C31" s="3" t="s">
        <v>313</v>
      </c>
      <c r="D31" s="3" t="s">
        <v>1600</v>
      </c>
      <c r="E31" s="3" t="s">
        <v>106</v>
      </c>
      <c r="F31" s="3" t="s">
        <v>344</v>
      </c>
      <c r="G31" s="3" t="s">
        <v>345</v>
      </c>
      <c r="H31" s="6">
        <v>-15000</v>
      </c>
      <c r="I31" s="6">
        <v>-13750</v>
      </c>
      <c r="J31" s="6">
        <v>-1250</v>
      </c>
      <c r="K31" s="7">
        <v>1.8730000000000001E-3</v>
      </c>
      <c r="L31" s="7">
        <v>-2.0799999999999999E-4</v>
      </c>
      <c r="M31" s="7">
        <v>-1.7E-5</v>
      </c>
      <c r="N31" s="6">
        <v>-1250</v>
      </c>
      <c r="O31" s="7">
        <v>-1.7E-5</v>
      </c>
      <c r="P31" s="3"/>
      <c r="Q31" s="5"/>
      <c r="R31" s="5"/>
    </row>
    <row r="32" spans="1:18" ht="13.05" customHeight="1" x14ac:dyDescent="0.3">
      <c r="A32" s="3" t="s">
        <v>10</v>
      </c>
      <c r="B32" s="3" t="s">
        <v>11</v>
      </c>
      <c r="C32" s="3" t="s">
        <v>313</v>
      </c>
      <c r="D32" s="3" t="s">
        <v>1613</v>
      </c>
      <c r="E32" s="3" t="s">
        <v>106</v>
      </c>
      <c r="F32" s="3" t="s">
        <v>346</v>
      </c>
      <c r="G32" s="3" t="s">
        <v>347</v>
      </c>
      <c r="H32" s="6">
        <v>-10039.129999999999</v>
      </c>
      <c r="I32" s="6">
        <v>-9186.69</v>
      </c>
      <c r="J32" s="6">
        <v>-852.44</v>
      </c>
      <c r="K32" s="7">
        <v>1.2769999999999999E-3</v>
      </c>
      <c r="L32" s="7">
        <v>-1.3899999999999999E-4</v>
      </c>
      <c r="M32" s="7">
        <v>-1.2E-5</v>
      </c>
      <c r="N32" s="6">
        <v>-852.44</v>
      </c>
      <c r="O32" s="7">
        <v>-1.2E-5</v>
      </c>
      <c r="P32" s="3"/>
      <c r="Q32" s="5"/>
      <c r="R32" s="5"/>
    </row>
    <row r="33" spans="1:18" ht="13.05" customHeight="1" x14ac:dyDescent="0.3">
      <c r="A33" s="3" t="s">
        <v>10</v>
      </c>
      <c r="B33" s="3" t="s">
        <v>11</v>
      </c>
      <c r="C33" s="3" t="s">
        <v>313</v>
      </c>
      <c r="D33" s="3" t="s">
        <v>1597</v>
      </c>
      <c r="E33" s="3" t="s">
        <v>106</v>
      </c>
      <c r="F33" s="3" t="s">
        <v>348</v>
      </c>
      <c r="G33" s="3" t="s">
        <v>349</v>
      </c>
      <c r="H33" s="6">
        <v>-2237.71</v>
      </c>
      <c r="I33" s="6">
        <v>-2237.71</v>
      </c>
      <c r="J33" s="6">
        <v>0</v>
      </c>
      <c r="K33" s="7">
        <v>0</v>
      </c>
      <c r="L33" s="7">
        <v>-3.1000000000000001E-5</v>
      </c>
      <c r="M33" s="7">
        <v>0</v>
      </c>
      <c r="N33" s="6">
        <v>0</v>
      </c>
      <c r="O33" s="7">
        <v>0</v>
      </c>
      <c r="P33" s="3"/>
      <c r="Q33" s="5"/>
      <c r="R33" s="5"/>
    </row>
    <row r="34" spans="1:18" ht="13.05" customHeight="1" x14ac:dyDescent="0.3">
      <c r="A34" s="3" t="s">
        <v>10</v>
      </c>
      <c r="B34" s="3" t="s">
        <v>11</v>
      </c>
      <c r="C34" s="3" t="s">
        <v>313</v>
      </c>
      <c r="D34" s="3" t="s">
        <v>1595</v>
      </c>
      <c r="E34" s="3" t="s">
        <v>106</v>
      </c>
      <c r="F34" s="3" t="s">
        <v>350</v>
      </c>
      <c r="G34" s="3" t="s">
        <v>351</v>
      </c>
      <c r="H34" s="6">
        <v>-57863.58</v>
      </c>
      <c r="I34" s="6">
        <v>-51222.23</v>
      </c>
      <c r="J34" s="6">
        <v>-6641.35</v>
      </c>
      <c r="K34" s="7">
        <v>9.9520000000000008E-3</v>
      </c>
      <c r="L34" s="7">
        <v>-8.03E-4</v>
      </c>
      <c r="M34" s="7">
        <v>-9.1000000000000003E-5</v>
      </c>
      <c r="N34" s="6">
        <v>-1029.6400000000001</v>
      </c>
      <c r="O34" s="7">
        <v>-1.4E-5</v>
      </c>
      <c r="P34" s="3"/>
      <c r="Q34" s="5"/>
      <c r="R34" s="5"/>
    </row>
    <row r="35" spans="1:18" ht="13.05" customHeight="1" x14ac:dyDescent="0.3">
      <c r="A35" s="3" t="s">
        <v>10</v>
      </c>
      <c r="B35" s="3" t="s">
        <v>11</v>
      </c>
      <c r="C35" s="3" t="s">
        <v>313</v>
      </c>
      <c r="D35" s="3" t="s">
        <v>1596</v>
      </c>
      <c r="E35" s="3" t="s">
        <v>106</v>
      </c>
      <c r="F35" s="3" t="s">
        <v>352</v>
      </c>
      <c r="G35" s="3" t="s">
        <v>353</v>
      </c>
      <c r="H35" s="6">
        <v>-1845.21</v>
      </c>
      <c r="I35" s="6">
        <v>-844.37</v>
      </c>
      <c r="J35" s="6">
        <v>-1000.84</v>
      </c>
      <c r="K35" s="7">
        <v>1.5E-3</v>
      </c>
      <c r="L35" s="7">
        <v>-2.5999999999999998E-5</v>
      </c>
      <c r="M35" s="7">
        <v>-1.4E-5</v>
      </c>
      <c r="N35" s="6">
        <v>-78.349999999999994</v>
      </c>
      <c r="O35" s="7">
        <v>-9.9999999999999995E-7</v>
      </c>
      <c r="P35" s="3"/>
      <c r="Q35" s="5"/>
      <c r="R35" s="5"/>
    </row>
    <row r="36" spans="1:18" ht="13.05" customHeight="1" x14ac:dyDescent="0.3">
      <c r="A36" s="3" t="s">
        <v>10</v>
      </c>
      <c r="B36" s="3" t="s">
        <v>11</v>
      </c>
      <c r="C36" s="3" t="s">
        <v>313</v>
      </c>
      <c r="D36" s="3" t="s">
        <v>1596</v>
      </c>
      <c r="E36" s="3" t="s">
        <v>106</v>
      </c>
      <c r="F36" s="3" t="s">
        <v>354</v>
      </c>
      <c r="G36" s="3" t="s">
        <v>355</v>
      </c>
      <c r="H36" s="6">
        <v>-47907.35</v>
      </c>
      <c r="I36" s="6">
        <v>-23270.15</v>
      </c>
      <c r="J36" s="6">
        <v>-24637.200000000001</v>
      </c>
      <c r="K36" s="7">
        <v>3.6919E-2</v>
      </c>
      <c r="L36" s="7">
        <v>-6.6500000000000001E-4</v>
      </c>
      <c r="M36" s="7">
        <v>-3.39E-4</v>
      </c>
      <c r="N36" s="6">
        <v>-2159.2600000000002</v>
      </c>
      <c r="O36" s="7">
        <v>-3.0000000000000001E-5</v>
      </c>
      <c r="P36" s="3"/>
      <c r="Q36" s="5"/>
      <c r="R36" s="5"/>
    </row>
    <row r="37" spans="1:18" ht="13.05" customHeight="1" x14ac:dyDescent="0.3">
      <c r="A37" s="3" t="s">
        <v>10</v>
      </c>
      <c r="B37" s="3" t="s">
        <v>11</v>
      </c>
      <c r="C37" s="3" t="s">
        <v>313</v>
      </c>
      <c r="D37" s="3" t="s">
        <v>1614</v>
      </c>
      <c r="E37" s="3" t="s">
        <v>106</v>
      </c>
      <c r="F37" s="3" t="s">
        <v>356</v>
      </c>
      <c r="G37" s="3" t="s">
        <v>357</v>
      </c>
      <c r="H37" s="6">
        <v>-55703.91</v>
      </c>
      <c r="I37" s="6">
        <v>-39570.160000000003</v>
      </c>
      <c r="J37" s="6">
        <v>-16133.75</v>
      </c>
      <c r="K37" s="7">
        <v>2.4177000000000001E-2</v>
      </c>
      <c r="L37" s="7">
        <v>-7.7399999999999995E-4</v>
      </c>
      <c r="M37" s="7">
        <v>-2.22E-4</v>
      </c>
      <c r="N37" s="6">
        <v>-2263.75</v>
      </c>
      <c r="O37" s="7">
        <v>-3.1000000000000001E-5</v>
      </c>
      <c r="P37" s="3"/>
      <c r="Q37" s="5"/>
      <c r="R37" s="5"/>
    </row>
    <row r="38" spans="1:18" ht="13.05" customHeight="1" x14ac:dyDescent="0.3">
      <c r="A38" s="10" t="s">
        <v>59</v>
      </c>
      <c r="B38" s="3"/>
      <c r="C38" s="3"/>
      <c r="D38" s="3"/>
      <c r="E38" s="10" t="s">
        <v>106</v>
      </c>
      <c r="F38" s="3"/>
      <c r="G38" s="3"/>
      <c r="H38" s="11">
        <v>-342745.5</v>
      </c>
      <c r="I38" s="11">
        <v>-264478.21000000002</v>
      </c>
      <c r="J38" s="11">
        <v>-78267.289999999994</v>
      </c>
      <c r="K38" s="7"/>
      <c r="L38" s="7"/>
      <c r="M38" s="7"/>
      <c r="N38" s="11">
        <v>-55093.99</v>
      </c>
      <c r="O38" s="12">
        <v>-7.5799999999999999E-4</v>
      </c>
      <c r="P38" s="3"/>
      <c r="Q38" s="5"/>
      <c r="R38" s="5"/>
    </row>
    <row r="39" spans="1:18" ht="13.05" customHeight="1" x14ac:dyDescent="0.3">
      <c r="A39" s="3" t="s">
        <v>10</v>
      </c>
      <c r="B39" t="s">
        <v>1649</v>
      </c>
      <c r="C39" s="3" t="s">
        <v>358</v>
      </c>
      <c r="D39" s="3" t="s">
        <v>1662</v>
      </c>
      <c r="E39" s="3" t="s">
        <v>359</v>
      </c>
      <c r="F39" s="3" t="s">
        <v>360</v>
      </c>
      <c r="G39" s="3" t="s">
        <v>361</v>
      </c>
      <c r="H39" s="65">
        <v>-941744.95</v>
      </c>
      <c r="I39" s="6">
        <v>0</v>
      </c>
      <c r="J39" s="6">
        <v>-941744.95</v>
      </c>
      <c r="K39" s="7">
        <v>1.411219</v>
      </c>
      <c r="L39" s="7">
        <v>-1.3077E-2</v>
      </c>
      <c r="M39" s="7">
        <v>-1.2957E-2</v>
      </c>
      <c r="N39" s="6">
        <v>0</v>
      </c>
      <c r="O39" s="7">
        <v>0</v>
      </c>
      <c r="P39" s="3"/>
      <c r="Q39" s="5"/>
      <c r="R39" s="5"/>
    </row>
    <row r="40" spans="1:18" ht="13.05" customHeight="1" x14ac:dyDescent="0.3">
      <c r="A40" s="3" t="s">
        <v>10</v>
      </c>
      <c r="B40" t="s">
        <v>1650</v>
      </c>
      <c r="C40" s="3" t="s">
        <v>358</v>
      </c>
      <c r="D40" s="3" t="s">
        <v>1660</v>
      </c>
      <c r="E40" s="3" t="s">
        <v>359</v>
      </c>
      <c r="F40" s="3" t="s">
        <v>362</v>
      </c>
      <c r="G40" s="3" t="s">
        <v>363</v>
      </c>
      <c r="H40" s="6">
        <v>78650</v>
      </c>
      <c r="I40" s="6">
        <v>0</v>
      </c>
      <c r="J40" s="6">
        <v>78650</v>
      </c>
      <c r="K40" s="7">
        <v>-0.117858</v>
      </c>
      <c r="L40" s="7">
        <v>1.0920000000000001E-3</v>
      </c>
      <c r="M40" s="7">
        <v>1.0820000000000001E-3</v>
      </c>
      <c r="N40" s="6">
        <v>0</v>
      </c>
      <c r="O40" s="7">
        <v>0</v>
      </c>
      <c r="P40" s="3"/>
      <c r="Q40" s="5"/>
      <c r="R40" s="5"/>
    </row>
    <row r="41" spans="1:18" ht="13.05" customHeight="1" x14ac:dyDescent="0.3">
      <c r="A41" s="3" t="s">
        <v>10</v>
      </c>
      <c r="B41" t="s">
        <v>1649</v>
      </c>
      <c r="C41" s="3" t="s">
        <v>358</v>
      </c>
      <c r="D41" s="3" t="s">
        <v>1659</v>
      </c>
      <c r="E41" s="3" t="s">
        <v>359</v>
      </c>
      <c r="F41" s="3" t="s">
        <v>364</v>
      </c>
      <c r="G41" s="3" t="s">
        <v>365</v>
      </c>
      <c r="H41" s="64">
        <v>61624</v>
      </c>
      <c r="I41" s="6">
        <v>61325.440000000002</v>
      </c>
      <c r="J41" s="6">
        <v>298.56</v>
      </c>
      <c r="K41" s="7">
        <v>-4.4700000000000002E-4</v>
      </c>
      <c r="L41" s="7">
        <v>8.5599999999999999E-4</v>
      </c>
      <c r="M41" s="7">
        <v>3.9999999999999998E-6</v>
      </c>
      <c r="N41" s="6">
        <v>0</v>
      </c>
      <c r="O41" s="7">
        <v>0</v>
      </c>
      <c r="P41" s="3"/>
      <c r="Q41" s="5"/>
      <c r="R41" s="5"/>
    </row>
    <row r="42" spans="1:18" ht="13.05" customHeight="1" x14ac:dyDescent="0.3">
      <c r="A42" s="10" t="s">
        <v>59</v>
      </c>
      <c r="B42" s="3"/>
      <c r="C42" s="3"/>
      <c r="D42" s="3"/>
      <c r="E42" s="10" t="s">
        <v>359</v>
      </c>
      <c r="F42" s="3"/>
      <c r="G42" s="3"/>
      <c r="H42" s="11">
        <v>-801470.95</v>
      </c>
      <c r="I42" s="11">
        <v>61325.440000000002</v>
      </c>
      <c r="J42" s="11">
        <v>-862796.39</v>
      </c>
      <c r="K42" s="7"/>
      <c r="L42" s="7"/>
      <c r="M42" s="7"/>
      <c r="N42" s="11">
        <v>0</v>
      </c>
      <c r="O42" s="12">
        <v>0</v>
      </c>
      <c r="P42" s="3"/>
      <c r="Q42" s="5"/>
      <c r="R42" s="5"/>
    </row>
    <row r="43" spans="1:18" ht="13.05" customHeight="1" x14ac:dyDescent="0.3">
      <c r="A43" s="3" t="s">
        <v>10</v>
      </c>
      <c r="B43" t="s">
        <v>1651</v>
      </c>
      <c r="C43" s="3" t="s">
        <v>366</v>
      </c>
      <c r="D43" s="3" t="s">
        <v>1663</v>
      </c>
      <c r="E43" s="3" t="s">
        <v>367</v>
      </c>
      <c r="F43" s="3" t="s">
        <v>368</v>
      </c>
      <c r="G43" s="3" t="s">
        <v>369</v>
      </c>
      <c r="H43" s="6">
        <v>-3236720.05</v>
      </c>
      <c r="I43" s="6">
        <v>-1504939.09</v>
      </c>
      <c r="J43" s="6">
        <v>-1731780.96</v>
      </c>
      <c r="K43" s="7">
        <v>2.5950989999999998</v>
      </c>
      <c r="L43" s="7">
        <v>-4.4944999999999999E-2</v>
      </c>
      <c r="M43" s="7">
        <v>-2.3827000000000001E-2</v>
      </c>
      <c r="N43" s="6">
        <v>0</v>
      </c>
      <c r="O43" s="7">
        <v>0</v>
      </c>
      <c r="P43" s="3"/>
      <c r="Q43" s="5"/>
      <c r="R43" s="5"/>
    </row>
    <row r="44" spans="1:18" ht="13.05" customHeight="1" x14ac:dyDescent="0.3">
      <c r="A44" s="3" t="s">
        <v>10</v>
      </c>
      <c r="B44">
        <v>0</v>
      </c>
      <c r="C44" s="3" t="s">
        <v>366</v>
      </c>
      <c r="D44" s="3" t="s">
        <v>1632</v>
      </c>
      <c r="E44" s="3" t="s">
        <v>367</v>
      </c>
      <c r="F44" s="3" t="s">
        <v>370</v>
      </c>
      <c r="G44" s="3" t="s">
        <v>371</v>
      </c>
      <c r="H44" s="6">
        <v>-11471.02</v>
      </c>
      <c r="I44" s="6">
        <v>-11435.38</v>
      </c>
      <c r="J44" s="6">
        <v>-35.64</v>
      </c>
      <c r="K44" s="7">
        <v>5.3000000000000001E-5</v>
      </c>
      <c r="L44" s="7">
        <v>-1.5899999999999999E-4</v>
      </c>
      <c r="M44" s="7">
        <v>0</v>
      </c>
      <c r="N44" s="6">
        <v>0</v>
      </c>
      <c r="O44" s="7">
        <v>0</v>
      </c>
      <c r="P44" s="3"/>
      <c r="Q44" s="5"/>
      <c r="R44" s="5"/>
    </row>
    <row r="45" spans="1:18" ht="13.05" customHeight="1" x14ac:dyDescent="0.3">
      <c r="A45" s="3" t="s">
        <v>10</v>
      </c>
      <c r="B45" t="s">
        <v>1649</v>
      </c>
      <c r="C45" s="3" t="s">
        <v>366</v>
      </c>
      <c r="D45" s="3" t="s">
        <v>1662</v>
      </c>
      <c r="E45" s="3" t="s">
        <v>367</v>
      </c>
      <c r="F45" s="3" t="s">
        <v>372</v>
      </c>
      <c r="G45" s="3" t="s">
        <v>373</v>
      </c>
      <c r="H45" s="65">
        <v>-292442.71999999997</v>
      </c>
      <c r="I45" s="6">
        <v>-292442.71999999997</v>
      </c>
      <c r="J45" s="6">
        <v>0</v>
      </c>
      <c r="K45" s="7">
        <v>0</v>
      </c>
      <c r="L45" s="7">
        <v>-4.0610000000000004E-3</v>
      </c>
      <c r="M45" s="7">
        <v>0</v>
      </c>
      <c r="N45" s="6">
        <v>0</v>
      </c>
      <c r="O45" s="7">
        <v>0</v>
      </c>
      <c r="P45" s="3"/>
      <c r="Q45" s="5"/>
      <c r="R45" s="5"/>
    </row>
    <row r="46" spans="1:18" ht="13.05" customHeight="1" x14ac:dyDescent="0.3">
      <c r="A46" s="3" t="s">
        <v>10</v>
      </c>
      <c r="B46" t="s">
        <v>1651</v>
      </c>
      <c r="C46" s="3" t="s">
        <v>366</v>
      </c>
      <c r="D46" s="3" t="s">
        <v>1661</v>
      </c>
      <c r="E46" s="3" t="s">
        <v>367</v>
      </c>
      <c r="F46" s="3" t="s">
        <v>374</v>
      </c>
      <c r="G46" s="3" t="s">
        <v>375</v>
      </c>
      <c r="H46" s="6">
        <v>2486144.0299999998</v>
      </c>
      <c r="I46" s="6">
        <v>1200931.81</v>
      </c>
      <c r="J46" s="6">
        <v>1285212.22</v>
      </c>
      <c r="K46" s="7">
        <v>-1.9259090000000001</v>
      </c>
      <c r="L46" s="7">
        <v>3.4521999999999997E-2</v>
      </c>
      <c r="M46" s="7">
        <v>1.7683000000000001E-2</v>
      </c>
      <c r="N46" s="6">
        <v>0</v>
      </c>
      <c r="O46" s="7">
        <v>0</v>
      </c>
      <c r="P46" s="3"/>
      <c r="Q46" s="5"/>
      <c r="R46" s="5"/>
    </row>
    <row r="47" spans="1:18" ht="13.05" customHeight="1" x14ac:dyDescent="0.3">
      <c r="A47" s="3" t="s">
        <v>10</v>
      </c>
      <c r="B47">
        <v>0</v>
      </c>
      <c r="C47" s="3" t="s">
        <v>366</v>
      </c>
      <c r="D47" s="3" t="s">
        <v>1632</v>
      </c>
      <c r="E47" s="3" t="s">
        <v>367</v>
      </c>
      <c r="F47" s="3" t="s">
        <v>376</v>
      </c>
      <c r="G47" s="3" t="s">
        <v>377</v>
      </c>
      <c r="H47" s="6">
        <v>5816.69</v>
      </c>
      <c r="I47" s="6">
        <v>5816.69</v>
      </c>
      <c r="J47" s="6">
        <v>0</v>
      </c>
      <c r="K47" s="7">
        <v>0</v>
      </c>
      <c r="L47" s="7">
        <v>8.1000000000000004E-5</v>
      </c>
      <c r="M47" s="7">
        <v>0</v>
      </c>
      <c r="N47" s="6">
        <v>0</v>
      </c>
      <c r="O47" s="7">
        <v>0</v>
      </c>
      <c r="P47" s="3"/>
      <c r="Q47" s="5"/>
      <c r="R47" s="5"/>
    </row>
    <row r="48" spans="1:18" ht="13.05" customHeight="1" x14ac:dyDescent="0.3">
      <c r="A48" s="3" t="s">
        <v>10</v>
      </c>
      <c r="B48" t="s">
        <v>1649</v>
      </c>
      <c r="C48" s="3" t="s">
        <v>366</v>
      </c>
      <c r="D48" s="3" t="s">
        <v>1659</v>
      </c>
      <c r="E48" s="3" t="s">
        <v>367</v>
      </c>
      <c r="F48" s="3" t="s">
        <v>378</v>
      </c>
      <c r="G48" s="3" t="s">
        <v>379</v>
      </c>
      <c r="H48" s="64">
        <v>58164.5</v>
      </c>
      <c r="I48" s="6">
        <v>33488.910000000003</v>
      </c>
      <c r="J48" s="6">
        <v>24675.59</v>
      </c>
      <c r="K48" s="7">
        <v>-3.6977000000000003E-2</v>
      </c>
      <c r="L48" s="7">
        <v>8.0800000000000002E-4</v>
      </c>
      <c r="M48" s="7">
        <v>3.39E-4</v>
      </c>
      <c r="N48" s="6">
        <v>0</v>
      </c>
      <c r="O48" s="7">
        <v>0</v>
      </c>
      <c r="P48" s="3"/>
      <c r="Q48" s="5"/>
      <c r="R48" s="5"/>
    </row>
    <row r="49" spans="1:18" ht="13.05" customHeight="1" x14ac:dyDescent="0.3">
      <c r="A49" s="10" t="s">
        <v>59</v>
      </c>
      <c r="B49" s="3"/>
      <c r="C49" s="3"/>
      <c r="D49" s="3"/>
      <c r="E49" s="10" t="s">
        <v>367</v>
      </c>
      <c r="F49" s="3"/>
      <c r="G49" s="3"/>
      <c r="H49" s="11">
        <v>-990508.57</v>
      </c>
      <c r="I49" s="11">
        <v>-568579.78</v>
      </c>
      <c r="J49" s="11">
        <v>-421928.79</v>
      </c>
      <c r="K49" s="7"/>
      <c r="L49" s="7"/>
      <c r="M49" s="7"/>
      <c r="N49" s="11">
        <v>0</v>
      </c>
      <c r="O49" s="12">
        <v>0</v>
      </c>
      <c r="P49" s="3"/>
      <c r="Q49" s="5"/>
      <c r="R49" s="5"/>
    </row>
    <row r="50" spans="1:18" ht="13.05" customHeight="1" x14ac:dyDescent="0.3">
      <c r="A50" s="3" t="s">
        <v>10</v>
      </c>
      <c r="B50" t="s">
        <v>1652</v>
      </c>
      <c r="C50" s="3" t="s">
        <v>380</v>
      </c>
      <c r="D50" s="3" t="s">
        <v>1655</v>
      </c>
      <c r="E50" s="3" t="s">
        <v>381</v>
      </c>
      <c r="F50" s="3" t="s">
        <v>382</v>
      </c>
      <c r="G50" s="3" t="s">
        <v>383</v>
      </c>
      <c r="H50" s="6">
        <v>-1059.6300000000001</v>
      </c>
      <c r="I50" s="6">
        <v>-968.4</v>
      </c>
      <c r="J50" s="6">
        <v>-91.23</v>
      </c>
      <c r="K50" s="7">
        <v>1.37E-4</v>
      </c>
      <c r="L50" s="7">
        <v>-1.5E-5</v>
      </c>
      <c r="M50" s="7">
        <v>-9.9999999999999995E-7</v>
      </c>
      <c r="N50" s="6">
        <v>0</v>
      </c>
      <c r="O50" s="7">
        <v>0</v>
      </c>
      <c r="P50" s="3"/>
      <c r="Q50" s="5"/>
      <c r="R50" s="5"/>
    </row>
    <row r="51" spans="1:18" ht="13.05" customHeight="1" x14ac:dyDescent="0.3">
      <c r="A51" s="3" t="s">
        <v>10</v>
      </c>
      <c r="B51" t="s">
        <v>1653</v>
      </c>
      <c r="C51" s="3" t="s">
        <v>380</v>
      </c>
      <c r="D51" s="3" t="s">
        <v>1656</v>
      </c>
      <c r="E51" s="3" t="s">
        <v>381</v>
      </c>
      <c r="F51" s="3" t="s">
        <v>384</v>
      </c>
      <c r="G51" s="3" t="s">
        <v>385</v>
      </c>
      <c r="H51" s="48">
        <v>151707.29</v>
      </c>
      <c r="I51" s="6">
        <v>-790929.93</v>
      </c>
      <c r="J51" s="6">
        <v>942637.22</v>
      </c>
      <c r="K51" s="7">
        <v>-1.4125559999999999</v>
      </c>
      <c r="L51" s="7">
        <v>2.1069999999999999E-3</v>
      </c>
      <c r="M51" s="7">
        <v>1.2969E-2</v>
      </c>
      <c r="N51" s="6">
        <v>0</v>
      </c>
      <c r="O51" s="7">
        <v>0</v>
      </c>
      <c r="P51" s="3"/>
      <c r="Q51" s="5"/>
      <c r="R51" s="5"/>
    </row>
    <row r="52" spans="1:18" ht="13.05" customHeight="1" x14ac:dyDescent="0.3">
      <c r="A52" s="3" t="s">
        <v>10</v>
      </c>
      <c r="B52" t="s">
        <v>1654</v>
      </c>
      <c r="C52" s="3" t="s">
        <v>380</v>
      </c>
      <c r="D52" s="3" t="s">
        <v>1657</v>
      </c>
      <c r="E52" s="3" t="s">
        <v>381</v>
      </c>
      <c r="F52" s="3" t="s">
        <v>386</v>
      </c>
      <c r="G52" s="3" t="s">
        <v>387</v>
      </c>
      <c r="H52" s="48">
        <v>-5792641.1799999997</v>
      </c>
      <c r="I52" s="6">
        <v>-4403194.2</v>
      </c>
      <c r="J52" s="6">
        <v>-1389446.98</v>
      </c>
      <c r="K52" s="7">
        <v>2.0821070000000002</v>
      </c>
      <c r="L52" s="7">
        <v>-8.0435999999999994E-2</v>
      </c>
      <c r="M52" s="7">
        <v>-1.9116999999999999E-2</v>
      </c>
      <c r="N52" s="6">
        <v>0</v>
      </c>
      <c r="O52" s="7">
        <v>0</v>
      </c>
      <c r="P52" s="3"/>
      <c r="Q52" s="5"/>
      <c r="R52" s="5"/>
    </row>
    <row r="53" spans="1:18" ht="13.05" customHeight="1" x14ac:dyDescent="0.3">
      <c r="A53" s="3" t="s">
        <v>10</v>
      </c>
      <c r="B53" t="s">
        <v>1653</v>
      </c>
      <c r="C53" s="3" t="s">
        <v>380</v>
      </c>
      <c r="D53" s="3" t="s">
        <v>1656</v>
      </c>
      <c r="E53" s="3" t="s">
        <v>381</v>
      </c>
      <c r="F53" s="3" t="s">
        <v>388</v>
      </c>
      <c r="G53" s="3" t="s">
        <v>389</v>
      </c>
      <c r="H53" s="48">
        <v>396034.29</v>
      </c>
      <c r="I53" s="6">
        <v>384972.49</v>
      </c>
      <c r="J53" s="6">
        <v>11061.8</v>
      </c>
      <c r="K53" s="7">
        <v>-1.6576E-2</v>
      </c>
      <c r="L53" s="7">
        <v>5.4990000000000004E-3</v>
      </c>
      <c r="M53" s="7">
        <v>1.5200000000000001E-4</v>
      </c>
      <c r="N53" s="6">
        <v>0</v>
      </c>
      <c r="O53" s="7">
        <v>0</v>
      </c>
      <c r="P53" s="3"/>
      <c r="Q53" s="5"/>
      <c r="R53" s="5"/>
    </row>
    <row r="54" spans="1:18" ht="13.05" customHeight="1" x14ac:dyDescent="0.3">
      <c r="A54" s="3" t="s">
        <v>10</v>
      </c>
      <c r="B54" t="s">
        <v>1650</v>
      </c>
      <c r="C54" s="3" t="s">
        <v>380</v>
      </c>
      <c r="D54" s="3" t="s">
        <v>1658</v>
      </c>
      <c r="E54" s="3" t="s">
        <v>381</v>
      </c>
      <c r="F54" s="3" t="s">
        <v>390</v>
      </c>
      <c r="G54" s="3" t="s">
        <v>391</v>
      </c>
      <c r="H54" s="48">
        <v>527207.88</v>
      </c>
      <c r="I54" s="6">
        <v>552800.98</v>
      </c>
      <c r="J54" s="6">
        <v>-25593.1</v>
      </c>
      <c r="K54" s="7">
        <v>3.8351999999999997E-2</v>
      </c>
      <c r="L54" s="7">
        <v>7.3210000000000003E-3</v>
      </c>
      <c r="M54" s="7">
        <v>-3.5199999999999999E-4</v>
      </c>
      <c r="N54" s="6">
        <v>0</v>
      </c>
      <c r="O54" s="7">
        <v>0</v>
      </c>
      <c r="P54" s="3"/>
      <c r="Q54" s="5"/>
      <c r="R54" s="5"/>
    </row>
    <row r="55" spans="1:18" ht="13.05" customHeight="1" x14ac:dyDescent="0.3">
      <c r="A55" s="3" t="s">
        <v>10</v>
      </c>
      <c r="B55" t="s">
        <v>1650</v>
      </c>
      <c r="C55" s="3" t="s">
        <v>380</v>
      </c>
      <c r="D55" s="3" t="s">
        <v>1658</v>
      </c>
      <c r="E55" s="3" t="s">
        <v>381</v>
      </c>
      <c r="F55" s="3" t="s">
        <v>392</v>
      </c>
      <c r="G55" s="3" t="s">
        <v>393</v>
      </c>
      <c r="H55" s="48">
        <v>-105871.79</v>
      </c>
      <c r="I55" s="6">
        <v>-14273.18</v>
      </c>
      <c r="J55" s="6">
        <v>-91598.61</v>
      </c>
      <c r="K55" s="7">
        <v>0.137262</v>
      </c>
      <c r="L55" s="7">
        <v>-1.47E-3</v>
      </c>
      <c r="M55" s="7">
        <v>-1.2600000000000001E-3</v>
      </c>
      <c r="N55" s="6">
        <v>0</v>
      </c>
      <c r="O55" s="7">
        <v>0</v>
      </c>
      <c r="P55" s="3"/>
      <c r="Q55" s="5"/>
      <c r="R55" s="5"/>
    </row>
    <row r="56" spans="1:18" ht="13.05" customHeight="1" x14ac:dyDescent="0.3">
      <c r="A56" s="3" t="s">
        <v>10</v>
      </c>
      <c r="B56" t="s">
        <v>1653</v>
      </c>
      <c r="C56" s="3" t="s">
        <v>380</v>
      </c>
      <c r="D56" s="3" t="s">
        <v>1656</v>
      </c>
      <c r="E56" s="3" t="s">
        <v>381</v>
      </c>
      <c r="F56" s="3" t="s">
        <v>394</v>
      </c>
      <c r="G56" s="3" t="s">
        <v>395</v>
      </c>
      <c r="H56" s="48">
        <v>-45007.94</v>
      </c>
      <c r="I56" s="6">
        <v>-50784.43</v>
      </c>
      <c r="J56" s="6">
        <v>5776.49</v>
      </c>
      <c r="K56" s="7">
        <v>-8.6560000000000005E-3</v>
      </c>
      <c r="L56" s="7">
        <v>-6.2500000000000001E-4</v>
      </c>
      <c r="M56" s="7">
        <v>7.8999999999999996E-5</v>
      </c>
      <c r="N56" s="6">
        <v>0</v>
      </c>
      <c r="O56" s="7">
        <v>0</v>
      </c>
      <c r="P56" s="3"/>
      <c r="Q56" s="5"/>
      <c r="R56" s="5"/>
    </row>
    <row r="57" spans="1:18" ht="13.05" customHeight="1" x14ac:dyDescent="0.3">
      <c r="A57" s="3" t="s">
        <v>10</v>
      </c>
      <c r="B57" t="s">
        <v>1651</v>
      </c>
      <c r="C57" s="3" t="s">
        <v>380</v>
      </c>
      <c r="D57" s="3" t="s">
        <v>1658</v>
      </c>
      <c r="E57" s="3" t="s">
        <v>381</v>
      </c>
      <c r="F57" s="3" t="s">
        <v>396</v>
      </c>
      <c r="G57" s="3" t="s">
        <v>397</v>
      </c>
      <c r="H57" s="48">
        <v>-1511549.03</v>
      </c>
      <c r="I57" s="6">
        <v>-1354051.78</v>
      </c>
      <c r="J57" s="6">
        <v>-157497.25</v>
      </c>
      <c r="K57" s="7">
        <v>0.236012</v>
      </c>
      <c r="L57" s="7">
        <v>-2.0989000000000001E-2</v>
      </c>
      <c r="M57" s="7">
        <v>-2.1670000000000001E-3</v>
      </c>
      <c r="N57" s="6">
        <v>0</v>
      </c>
      <c r="O57" s="7">
        <v>0</v>
      </c>
      <c r="P57" s="3"/>
      <c r="Q57" s="5"/>
      <c r="R57" s="5"/>
    </row>
    <row r="58" spans="1:18" ht="13.05" customHeight="1" x14ac:dyDescent="0.3">
      <c r="A58" s="3" t="s">
        <v>10</v>
      </c>
      <c r="B58" t="s">
        <v>1652</v>
      </c>
      <c r="C58" s="3" t="s">
        <v>380</v>
      </c>
      <c r="D58" s="3" t="s">
        <v>1655</v>
      </c>
      <c r="E58" s="3" t="s">
        <v>381</v>
      </c>
      <c r="F58" s="3" t="s">
        <v>398</v>
      </c>
      <c r="G58" s="3" t="s">
        <v>399</v>
      </c>
      <c r="H58" s="48">
        <v>1059.6300000000001</v>
      </c>
      <c r="I58" s="6">
        <v>968.4</v>
      </c>
      <c r="J58" s="6">
        <v>91.23</v>
      </c>
      <c r="K58" s="7">
        <v>-1.37E-4</v>
      </c>
      <c r="L58" s="7">
        <v>1.5E-5</v>
      </c>
      <c r="M58" s="7">
        <v>9.9999999999999995E-7</v>
      </c>
      <c r="N58" s="6">
        <v>0</v>
      </c>
      <c r="O58" s="7">
        <v>0</v>
      </c>
      <c r="P58" s="3"/>
      <c r="Q58" s="5"/>
      <c r="R58" s="5"/>
    </row>
    <row r="59" spans="1:18" ht="13.05" customHeight="1" x14ac:dyDescent="0.3">
      <c r="A59" s="3" t="s">
        <v>10</v>
      </c>
      <c r="B59" t="s">
        <v>1653</v>
      </c>
      <c r="C59" s="3" t="s">
        <v>380</v>
      </c>
      <c r="D59" s="3" t="s">
        <v>1656</v>
      </c>
      <c r="E59" s="3" t="s">
        <v>381</v>
      </c>
      <c r="F59" s="3" t="s">
        <v>400</v>
      </c>
      <c r="G59" s="3" t="s">
        <v>401</v>
      </c>
      <c r="H59" s="48">
        <v>266593.59000000003</v>
      </c>
      <c r="I59" s="6">
        <v>189578.36</v>
      </c>
      <c r="J59" s="6">
        <v>77015.23</v>
      </c>
      <c r="K59" s="7">
        <v>-0.115408</v>
      </c>
      <c r="L59" s="7">
        <v>3.702E-3</v>
      </c>
      <c r="M59" s="7">
        <v>1.06E-3</v>
      </c>
      <c r="N59" s="6">
        <v>0</v>
      </c>
      <c r="O59" s="7">
        <v>0</v>
      </c>
      <c r="P59" s="3"/>
      <c r="Q59" s="5"/>
      <c r="R59" s="5"/>
    </row>
    <row r="60" spans="1:18" ht="13.05" customHeight="1" x14ac:dyDescent="0.3">
      <c r="A60" s="3" t="s">
        <v>10</v>
      </c>
      <c r="B60" t="s">
        <v>1654</v>
      </c>
      <c r="C60" s="3" t="s">
        <v>380</v>
      </c>
      <c r="D60" s="3" t="s">
        <v>1657</v>
      </c>
      <c r="E60" s="3" t="s">
        <v>381</v>
      </c>
      <c r="F60" s="3" t="s">
        <v>402</v>
      </c>
      <c r="G60" s="3" t="s">
        <v>403</v>
      </c>
      <c r="H60" s="6">
        <v>3487785.16</v>
      </c>
      <c r="I60" s="6">
        <v>2302749.9700000002</v>
      </c>
      <c r="J60" s="6">
        <v>1185035.19</v>
      </c>
      <c r="K60" s="7">
        <v>-1.775793</v>
      </c>
      <c r="L60" s="7">
        <v>4.8431000000000002E-2</v>
      </c>
      <c r="M60" s="7">
        <v>1.6303999999999999E-2</v>
      </c>
      <c r="N60" s="6">
        <v>0</v>
      </c>
      <c r="O60" s="7">
        <v>0</v>
      </c>
      <c r="P60" s="3"/>
      <c r="Q60" s="5"/>
      <c r="R60" s="5"/>
    </row>
    <row r="61" spans="1:18" ht="13.05" customHeight="1" x14ac:dyDescent="0.3">
      <c r="A61" s="3" t="s">
        <v>10</v>
      </c>
      <c r="B61" s="3">
        <v>0</v>
      </c>
      <c r="C61" s="3" t="s">
        <v>380</v>
      </c>
      <c r="D61" s="3" t="s">
        <v>1632</v>
      </c>
      <c r="E61" s="3" t="s">
        <v>381</v>
      </c>
      <c r="F61" s="3" t="s">
        <v>404</v>
      </c>
      <c r="G61" s="3" t="s">
        <v>405</v>
      </c>
      <c r="H61" s="6">
        <v>-19646.12</v>
      </c>
      <c r="I61" s="6">
        <v>-19456.23</v>
      </c>
      <c r="J61" s="6">
        <v>-189.89</v>
      </c>
      <c r="K61" s="7">
        <v>2.8499999999999999E-4</v>
      </c>
      <c r="L61" s="7">
        <v>-2.7300000000000002E-4</v>
      </c>
      <c r="M61" s="7">
        <v>-3.0000000000000001E-6</v>
      </c>
      <c r="N61" s="6">
        <v>-189.89</v>
      </c>
      <c r="O61" s="7">
        <v>-3.0000000000000001E-6</v>
      </c>
      <c r="P61" s="3"/>
      <c r="Q61" s="5"/>
      <c r="R61" s="5"/>
    </row>
    <row r="62" spans="1:18" ht="13.05" customHeight="1" x14ac:dyDescent="0.3">
      <c r="A62" s="10" t="s">
        <v>59</v>
      </c>
      <c r="B62" s="3"/>
      <c r="C62" s="3"/>
      <c r="D62" s="3"/>
      <c r="E62" s="10" t="s">
        <v>381</v>
      </c>
      <c r="F62" s="3"/>
      <c r="G62" s="3"/>
      <c r="H62" s="11">
        <v>-2645387.85</v>
      </c>
      <c r="I62" s="11">
        <v>-3202587.95</v>
      </c>
      <c r="J62" s="11">
        <v>557200.1</v>
      </c>
      <c r="K62" s="7"/>
      <c r="L62" s="7"/>
      <c r="M62" s="7"/>
      <c r="N62" s="11">
        <v>-189.89</v>
      </c>
      <c r="O62" s="12">
        <v>-3.0000000000000001E-6</v>
      </c>
      <c r="P62" s="3"/>
      <c r="Q62" s="5"/>
      <c r="R62" s="5"/>
    </row>
    <row r="63" spans="1:18" ht="13.05" customHeight="1" x14ac:dyDescent="0.3">
      <c r="A63" s="3" t="s">
        <v>10</v>
      </c>
      <c r="B63" s="3" t="s">
        <v>11</v>
      </c>
      <c r="C63" s="3" t="s">
        <v>406</v>
      </c>
      <c r="D63" s="3"/>
      <c r="E63" s="3" t="s">
        <v>407</v>
      </c>
      <c r="F63" s="3" t="s">
        <v>408</v>
      </c>
      <c r="G63" s="3" t="s">
        <v>409</v>
      </c>
      <c r="H63" s="6">
        <v>31683407.350000001</v>
      </c>
      <c r="I63" s="6">
        <v>31683407.350000001</v>
      </c>
      <c r="J63" s="6">
        <v>0</v>
      </c>
      <c r="K63" s="7">
        <v>0</v>
      </c>
      <c r="L63" s="7">
        <v>0.43995400000000001</v>
      </c>
      <c r="M63" s="7">
        <v>0</v>
      </c>
      <c r="N63" s="6">
        <v>0</v>
      </c>
      <c r="O63" s="7">
        <v>0</v>
      </c>
      <c r="P63" s="3"/>
      <c r="Q63" s="5"/>
      <c r="R63" s="5"/>
    </row>
    <row r="64" spans="1:18" ht="13.05" customHeight="1" x14ac:dyDescent="0.3">
      <c r="A64" s="3" t="s">
        <v>10</v>
      </c>
      <c r="B64" s="3" t="s">
        <v>11</v>
      </c>
      <c r="C64" s="3" t="s">
        <v>406</v>
      </c>
      <c r="D64" s="3"/>
      <c r="E64" s="3" t="s">
        <v>407</v>
      </c>
      <c r="F64" s="3" t="s">
        <v>410</v>
      </c>
      <c r="G64" s="3" t="s">
        <v>411</v>
      </c>
      <c r="H64" s="6">
        <v>-16991203.210000001</v>
      </c>
      <c r="I64" s="6">
        <v>-16991203.210000001</v>
      </c>
      <c r="J64" s="6">
        <v>0</v>
      </c>
      <c r="K64" s="7">
        <v>0</v>
      </c>
      <c r="L64" s="7">
        <v>-0.23593900000000001</v>
      </c>
      <c r="M64" s="7">
        <v>0</v>
      </c>
      <c r="N64" s="6">
        <v>0</v>
      </c>
      <c r="O64" s="7">
        <v>0</v>
      </c>
      <c r="P64" s="3"/>
      <c r="Q64" s="5"/>
      <c r="R64" s="5"/>
    </row>
    <row r="65" spans="1:18" ht="13.05" customHeight="1" x14ac:dyDescent="0.3">
      <c r="A65" s="3" t="s">
        <v>10</v>
      </c>
      <c r="B65" s="3" t="s">
        <v>11</v>
      </c>
      <c r="C65" s="3" t="s">
        <v>406</v>
      </c>
      <c r="D65" s="3"/>
      <c r="E65" s="3" t="s">
        <v>407</v>
      </c>
      <c r="F65" s="3" t="s">
        <v>412</v>
      </c>
      <c r="G65" s="3" t="s">
        <v>413</v>
      </c>
      <c r="H65" s="6">
        <v>-26308934.920000002</v>
      </c>
      <c r="I65" s="6">
        <v>-26308934.920000002</v>
      </c>
      <c r="J65" s="6">
        <v>0</v>
      </c>
      <c r="K65" s="7">
        <v>0</v>
      </c>
      <c r="L65" s="7">
        <v>-0.36532399999999998</v>
      </c>
      <c r="M65" s="7">
        <v>0</v>
      </c>
      <c r="N65" s="6">
        <v>0</v>
      </c>
      <c r="O65" s="7">
        <v>0</v>
      </c>
      <c r="P65" s="3"/>
      <c r="Q65" s="5"/>
      <c r="R65" s="5"/>
    </row>
    <row r="66" spans="1:18" ht="13.05" customHeight="1" x14ac:dyDescent="0.3">
      <c r="A66" s="10" t="s">
        <v>59</v>
      </c>
      <c r="B66" s="3"/>
      <c r="C66" s="3"/>
      <c r="D66" s="3"/>
      <c r="E66" s="10" t="s">
        <v>407</v>
      </c>
      <c r="F66" s="3"/>
      <c r="G66" s="3"/>
      <c r="H66" s="11">
        <v>-11616730.779999999</v>
      </c>
      <c r="I66" s="11">
        <v>-11616730.779999999</v>
      </c>
      <c r="J66" s="11">
        <v>0</v>
      </c>
      <c r="K66" s="7"/>
      <c r="L66" s="7"/>
      <c r="M66" s="7"/>
      <c r="N66" s="11">
        <v>0</v>
      </c>
      <c r="O66" s="12">
        <v>0</v>
      </c>
      <c r="P66" s="3"/>
      <c r="Q66" s="5"/>
      <c r="R66" s="5"/>
    </row>
    <row r="67" spans="1:18" ht="13.05" customHeight="1" x14ac:dyDescent="0.3">
      <c r="A67" s="3" t="s">
        <v>10</v>
      </c>
      <c r="B67" s="3" t="s">
        <v>11</v>
      </c>
      <c r="C67" s="3" t="s">
        <v>414</v>
      </c>
      <c r="D67" s="3"/>
      <c r="E67" s="3" t="s">
        <v>415</v>
      </c>
      <c r="F67" s="3" t="s">
        <v>416</v>
      </c>
      <c r="G67" s="3" t="s">
        <v>417</v>
      </c>
      <c r="H67" s="6">
        <v>-26169639.73</v>
      </c>
      <c r="I67" s="6">
        <v>-26169639.73</v>
      </c>
      <c r="J67" s="6">
        <v>0</v>
      </c>
      <c r="K67" s="7">
        <v>0</v>
      </c>
      <c r="L67" s="7">
        <v>-0.36338999999999999</v>
      </c>
      <c r="M67" s="7">
        <v>0</v>
      </c>
      <c r="N67" s="6">
        <v>0</v>
      </c>
      <c r="O67" s="7">
        <v>0</v>
      </c>
      <c r="P67" s="3"/>
      <c r="Q67" s="5"/>
      <c r="R67" s="5"/>
    </row>
    <row r="68" spans="1:18" ht="13.05" customHeight="1" x14ac:dyDescent="0.3">
      <c r="A68" s="10" t="s">
        <v>59</v>
      </c>
      <c r="B68" s="3"/>
      <c r="C68" s="3"/>
      <c r="D68" s="3"/>
      <c r="E68" s="10" t="s">
        <v>415</v>
      </c>
      <c r="F68" s="3"/>
      <c r="G68" s="3"/>
      <c r="H68" s="11">
        <v>-26169639.73</v>
      </c>
      <c r="I68" s="11">
        <v>-26169639.73</v>
      </c>
      <c r="J68" s="11">
        <v>0</v>
      </c>
      <c r="K68" s="7"/>
      <c r="L68" s="7"/>
      <c r="M68" s="7"/>
      <c r="N68" s="11">
        <v>0</v>
      </c>
      <c r="O68" s="12">
        <v>0</v>
      </c>
      <c r="P68" s="3"/>
      <c r="Q68" s="5"/>
      <c r="R68" s="5"/>
    </row>
    <row r="69" spans="1:18" ht="13.05" customHeight="1" x14ac:dyDescent="0.3">
      <c r="A69" s="3"/>
      <c r="B69" s="3"/>
      <c r="C69" s="3"/>
      <c r="D69" s="3"/>
      <c r="E69" s="3"/>
      <c r="F69" s="3"/>
      <c r="G69" s="3"/>
      <c r="H69" s="6"/>
      <c r="I69" s="6"/>
      <c r="J69" s="6"/>
      <c r="K69" s="7"/>
      <c r="L69" s="7"/>
      <c r="M69" s="7"/>
      <c r="N69" s="6"/>
      <c r="O69" s="7"/>
      <c r="P69" s="3"/>
      <c r="Q69" s="5"/>
      <c r="R69" s="5"/>
    </row>
    <row r="70" spans="1:18" ht="13.05" customHeight="1" x14ac:dyDescent="0.3">
      <c r="A70" s="10" t="s">
        <v>43</v>
      </c>
      <c r="B70" s="3"/>
      <c r="C70" s="3"/>
      <c r="D70" s="3"/>
      <c r="E70" s="10"/>
      <c r="F70" s="3"/>
      <c r="G70" s="3"/>
      <c r="H70" s="11">
        <v>72015275.439999998</v>
      </c>
      <c r="I70" s="11">
        <v>72682602.909999996</v>
      </c>
      <c r="J70" s="11">
        <v>-667327.47</v>
      </c>
      <c r="K70" s="12">
        <v>1</v>
      </c>
      <c r="L70" s="12">
        <v>1</v>
      </c>
      <c r="M70" s="12">
        <v>-9.1809999999999999E-3</v>
      </c>
      <c r="N70" s="11">
        <v>-55283.88</v>
      </c>
      <c r="O70" s="12">
        <v>-7.6099999999999996E-4</v>
      </c>
      <c r="P70" s="3"/>
      <c r="Q70" s="5"/>
      <c r="R7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P90"/>
  <sheetViews>
    <sheetView workbookViewId="0">
      <selection activeCell="D9" sqref="D9"/>
    </sheetView>
  </sheetViews>
  <sheetFormatPr defaultRowHeight="14.4" x14ac:dyDescent="0.3"/>
  <cols>
    <col min="2" max="2" width="28" customWidth="1"/>
    <col min="3" max="3" width="12.44140625" customWidth="1"/>
    <col min="4" max="4" width="16.5546875" customWidth="1"/>
    <col min="5" max="5" width="28" customWidth="1"/>
    <col min="6" max="9" width="14" customWidth="1"/>
    <col min="10" max="10" width="28" customWidth="1"/>
    <col min="11" max="14" width="14" customWidth="1"/>
    <col min="15" max="15" width="28" customWidth="1"/>
    <col min="16" max="17" width="14" customWidth="1"/>
  </cols>
  <sheetData>
    <row r="1" spans="2:16" x14ac:dyDescent="0.3">
      <c r="B1" s="13" t="s">
        <v>219</v>
      </c>
    </row>
    <row r="3" spans="2:16" ht="36" customHeight="1" x14ac:dyDescent="0.3">
      <c r="B3" s="1" t="s">
        <v>52</v>
      </c>
      <c r="C3" s="1" t="s">
        <v>202</v>
      </c>
      <c r="D3" s="1" t="s">
        <v>1514</v>
      </c>
      <c r="E3" s="26" t="s">
        <v>45</v>
      </c>
      <c r="F3" s="26" t="s">
        <v>203</v>
      </c>
      <c r="G3" s="1" t="s">
        <v>204</v>
      </c>
      <c r="H3" s="1" t="s">
        <v>205</v>
      </c>
      <c r="I3" s="1" t="s">
        <v>206</v>
      </c>
      <c r="J3" s="1" t="s">
        <v>207</v>
      </c>
      <c r="K3" s="1" t="s">
        <v>19</v>
      </c>
      <c r="L3" s="26" t="s">
        <v>208</v>
      </c>
      <c r="M3" s="1" t="s">
        <v>209</v>
      </c>
      <c r="N3" s="1" t="s">
        <v>210</v>
      </c>
      <c r="O3" s="1" t="s">
        <v>211</v>
      </c>
      <c r="P3" s="1" t="s">
        <v>212</v>
      </c>
    </row>
    <row r="4" spans="2:16" ht="13.05" customHeight="1" x14ac:dyDescent="0.3">
      <c r="B4" s="3" t="s">
        <v>81</v>
      </c>
      <c r="C4" s="3" t="s">
        <v>213</v>
      </c>
      <c r="D4" s="3" t="s">
        <v>1629</v>
      </c>
      <c r="E4" s="29" t="s">
        <v>214</v>
      </c>
      <c r="F4" s="27" t="s">
        <v>12</v>
      </c>
      <c r="G4" s="6">
        <v>3569591.47</v>
      </c>
      <c r="H4" s="6">
        <v>10515099.18</v>
      </c>
      <c r="I4" s="6">
        <v>-6945507.71</v>
      </c>
      <c r="J4" s="7">
        <v>-0.66052699999999998</v>
      </c>
      <c r="K4" s="4" t="s">
        <v>12</v>
      </c>
      <c r="L4" s="32">
        <v>3569591.47</v>
      </c>
      <c r="M4" s="6">
        <v>10515099.18</v>
      </c>
      <c r="N4" s="6">
        <v>-6945507.71</v>
      </c>
      <c r="O4" s="7">
        <v>-0.66052699999999998</v>
      </c>
      <c r="P4" s="3" t="s">
        <v>215</v>
      </c>
    </row>
    <row r="5" spans="2:16" ht="13.05" customHeight="1" x14ac:dyDescent="0.3">
      <c r="B5" s="3" t="s">
        <v>81</v>
      </c>
      <c r="C5" s="3" t="s">
        <v>213</v>
      </c>
      <c r="D5" s="3" t="s">
        <v>1628</v>
      </c>
      <c r="E5" s="29" t="s">
        <v>214</v>
      </c>
      <c r="F5" s="27" t="s">
        <v>216</v>
      </c>
      <c r="G5" s="6">
        <v>354.03</v>
      </c>
      <c r="H5" s="6">
        <v>353.07</v>
      </c>
      <c r="I5" s="6">
        <v>0.96</v>
      </c>
      <c r="J5" s="7">
        <v>2.7190000000000001E-3</v>
      </c>
      <c r="K5" s="4" t="s">
        <v>12</v>
      </c>
      <c r="L5" s="32">
        <v>427.95</v>
      </c>
      <c r="M5" s="6">
        <v>425.11</v>
      </c>
      <c r="N5" s="6">
        <v>2.84</v>
      </c>
      <c r="O5" s="7">
        <v>6.6810000000000003E-3</v>
      </c>
      <c r="P5" s="3" t="s">
        <v>215</v>
      </c>
    </row>
    <row r="6" spans="2:16" ht="13.05" customHeight="1" x14ac:dyDescent="0.3">
      <c r="B6" s="3" t="s">
        <v>81</v>
      </c>
      <c r="C6" s="3" t="s">
        <v>213</v>
      </c>
      <c r="D6" s="3" t="s">
        <v>1615</v>
      </c>
      <c r="E6" s="29" t="s">
        <v>214</v>
      </c>
      <c r="F6" s="27" t="s">
        <v>217</v>
      </c>
      <c r="G6" s="6">
        <v>12538.97</v>
      </c>
      <c r="H6" s="49">
        <v>19.57</v>
      </c>
      <c r="I6" s="6">
        <v>12519.4</v>
      </c>
      <c r="J6" s="7">
        <v>639.72406699999999</v>
      </c>
      <c r="K6" s="4" t="s">
        <v>12</v>
      </c>
      <c r="L6" s="32">
        <v>12110.27</v>
      </c>
      <c r="M6" s="6">
        <v>18.5</v>
      </c>
      <c r="N6" s="6">
        <v>12091.77</v>
      </c>
      <c r="O6" s="7">
        <v>653.60918900000001</v>
      </c>
      <c r="P6" s="3" t="s">
        <v>215</v>
      </c>
    </row>
    <row r="7" spans="2:16" ht="13.05" customHeight="1" x14ac:dyDescent="0.3">
      <c r="B7" s="3" t="s">
        <v>91</v>
      </c>
      <c r="C7" s="3" t="s">
        <v>213</v>
      </c>
      <c r="D7" s="3" t="s">
        <v>1615</v>
      </c>
      <c r="E7" s="29" t="s">
        <v>218</v>
      </c>
      <c r="F7" s="27" t="s">
        <v>12</v>
      </c>
      <c r="G7" s="6">
        <v>1090000</v>
      </c>
      <c r="H7" s="49">
        <v>1420000</v>
      </c>
      <c r="I7" s="6">
        <v>-330000</v>
      </c>
      <c r="J7" s="7">
        <v>-0.23239399999999999</v>
      </c>
      <c r="K7" s="4" t="s">
        <v>12</v>
      </c>
      <c r="L7" s="32">
        <v>1090000</v>
      </c>
      <c r="M7" s="6">
        <v>1420000</v>
      </c>
      <c r="N7" s="6">
        <v>-330000</v>
      </c>
      <c r="O7" s="7">
        <v>-0.23239399999999999</v>
      </c>
      <c r="P7" s="3" t="s">
        <v>215</v>
      </c>
    </row>
    <row r="8" spans="2:16" x14ac:dyDescent="0.3">
      <c r="B8" s="3"/>
      <c r="C8" s="3"/>
      <c r="D8" s="3"/>
      <c r="E8" s="29"/>
      <c r="F8" s="27"/>
      <c r="G8" s="6"/>
      <c r="H8" s="6"/>
      <c r="I8" s="6"/>
      <c r="J8" s="7"/>
      <c r="K8" s="4"/>
      <c r="L8" s="32"/>
      <c r="M8" s="6"/>
      <c r="N8" s="6"/>
      <c r="O8" s="7"/>
      <c r="P8" s="3"/>
    </row>
    <row r="9" spans="2:16" x14ac:dyDescent="0.3">
      <c r="B9" s="10" t="s">
        <v>59</v>
      </c>
      <c r="C9" s="3"/>
      <c r="D9" s="3" t="s">
        <v>1615</v>
      </c>
      <c r="E9" s="29"/>
      <c r="F9" s="27"/>
      <c r="G9" s="6"/>
      <c r="H9" s="49"/>
      <c r="I9" s="6"/>
      <c r="J9" s="7"/>
      <c r="K9" s="4"/>
      <c r="L9" s="37">
        <v>4672129.6900000004</v>
      </c>
      <c r="M9" s="11">
        <v>11935542.789999999</v>
      </c>
      <c r="N9" s="11">
        <v>-7263413.0999999996</v>
      </c>
      <c r="O9" s="7"/>
      <c r="P9" s="3"/>
    </row>
    <row r="10" spans="2:16" x14ac:dyDescent="0.3">
      <c r="E10" s="35"/>
      <c r="F10" s="35"/>
      <c r="L10" s="35"/>
    </row>
    <row r="11" spans="2:16" ht="13.05" customHeight="1" x14ac:dyDescent="0.3">
      <c r="B11" s="13" t="s">
        <v>220</v>
      </c>
      <c r="E11" s="35"/>
      <c r="F11" s="35"/>
      <c r="L11" s="35"/>
    </row>
    <row r="12" spans="2:16" x14ac:dyDescent="0.3">
      <c r="E12" s="35"/>
      <c r="F12" s="35" t="s">
        <v>1602</v>
      </c>
      <c r="L12" s="35"/>
    </row>
    <row r="13" spans="2:16" ht="13.05" customHeight="1" x14ac:dyDescent="0.3">
      <c r="B13" s="14" t="s">
        <v>52</v>
      </c>
      <c r="C13" s="14" t="s">
        <v>202</v>
      </c>
      <c r="D13" s="14"/>
      <c r="E13" s="36" t="s">
        <v>45</v>
      </c>
      <c r="F13" s="36" t="s">
        <v>203</v>
      </c>
      <c r="G13" s="14" t="s">
        <v>204</v>
      </c>
      <c r="H13" s="14" t="s">
        <v>205</v>
      </c>
      <c r="I13" s="14" t="s">
        <v>206</v>
      </c>
      <c r="J13" s="14" t="s">
        <v>207</v>
      </c>
      <c r="K13" s="14" t="s">
        <v>19</v>
      </c>
      <c r="L13" s="36" t="s">
        <v>208</v>
      </c>
      <c r="M13" s="14" t="s">
        <v>209</v>
      </c>
      <c r="N13" s="14" t="s">
        <v>210</v>
      </c>
      <c r="O13" s="14" t="s">
        <v>211</v>
      </c>
      <c r="P13" s="14" t="s">
        <v>212</v>
      </c>
    </row>
    <row r="14" spans="2:16" ht="13.05" customHeight="1" x14ac:dyDescent="0.3">
      <c r="B14" s="3" t="s">
        <v>101</v>
      </c>
      <c r="C14" s="3" t="s">
        <v>221</v>
      </c>
      <c r="D14" s="3" t="s">
        <v>1617</v>
      </c>
      <c r="E14" s="29" t="s">
        <v>222</v>
      </c>
      <c r="F14" s="27" t="s">
        <v>12</v>
      </c>
      <c r="G14" s="6">
        <v>36022.199999999997</v>
      </c>
      <c r="H14" s="48"/>
      <c r="I14" s="6">
        <v>36022.199999999997</v>
      </c>
      <c r="J14" s="7"/>
      <c r="K14" s="4" t="s">
        <v>12</v>
      </c>
      <c r="L14" s="32">
        <v>36022.199999999997</v>
      </c>
      <c r="M14" s="6"/>
      <c r="N14" s="6">
        <v>36022.199999999997</v>
      </c>
      <c r="O14" s="7"/>
      <c r="P14" s="3" t="s">
        <v>215</v>
      </c>
    </row>
    <row r="15" spans="2:16" ht="13.05" customHeight="1" x14ac:dyDescent="0.3">
      <c r="B15" s="3"/>
      <c r="C15" s="3"/>
      <c r="D15" s="3"/>
      <c r="E15" s="29"/>
      <c r="F15" s="27"/>
      <c r="G15" s="6"/>
      <c r="H15" s="6"/>
      <c r="I15" s="6"/>
      <c r="J15" s="7"/>
      <c r="K15" s="4"/>
      <c r="L15" s="32"/>
      <c r="M15" s="6"/>
      <c r="N15" s="6"/>
      <c r="O15" s="7"/>
      <c r="P15" s="3"/>
    </row>
    <row r="16" spans="2:16" ht="13.05" customHeight="1" x14ac:dyDescent="0.3">
      <c r="B16" s="10" t="s">
        <v>59</v>
      </c>
      <c r="C16" s="3"/>
      <c r="D16" s="3"/>
      <c r="E16" s="29"/>
      <c r="F16" s="27"/>
      <c r="G16" s="6"/>
      <c r="H16" s="6"/>
      <c r="I16" s="6"/>
      <c r="J16" s="7"/>
      <c r="K16" s="4"/>
      <c r="L16" s="37">
        <v>36022.199999999997</v>
      </c>
      <c r="M16" s="11"/>
      <c r="N16" s="11">
        <v>36022.199999999997</v>
      </c>
      <c r="O16" s="7"/>
      <c r="P16" s="3"/>
    </row>
    <row r="17" spans="2:16" ht="13.05" customHeight="1" x14ac:dyDescent="0.3">
      <c r="B17" s="3"/>
      <c r="C17" s="3"/>
      <c r="D17" s="3"/>
      <c r="E17" s="29"/>
      <c r="F17" s="27"/>
      <c r="G17" s="6"/>
      <c r="H17" s="6"/>
      <c r="I17" s="6"/>
      <c r="J17" s="7"/>
      <c r="K17" s="4"/>
      <c r="L17" s="32"/>
      <c r="M17" s="6"/>
      <c r="N17" s="6"/>
      <c r="O17" s="7"/>
      <c r="P17" s="3"/>
    </row>
    <row r="18" spans="2:16" ht="13.05" customHeight="1" x14ac:dyDescent="0.3">
      <c r="B18" s="3" t="s">
        <v>105</v>
      </c>
      <c r="C18" s="3" t="s">
        <v>213</v>
      </c>
      <c r="D18" s="3"/>
      <c r="E18" s="29" t="s">
        <v>223</v>
      </c>
      <c r="F18" s="27" t="s">
        <v>12</v>
      </c>
      <c r="G18" s="6"/>
      <c r="H18" s="6">
        <v>-12000000</v>
      </c>
      <c r="I18" s="6">
        <v>12000000</v>
      </c>
      <c r="J18" s="7">
        <v>1</v>
      </c>
      <c r="K18" s="4" t="s">
        <v>12</v>
      </c>
      <c r="L18" s="32"/>
      <c r="M18" s="6">
        <v>-12000000</v>
      </c>
      <c r="N18" s="6">
        <v>12000000</v>
      </c>
      <c r="O18" s="7">
        <v>1</v>
      </c>
      <c r="P18" s="3" t="s">
        <v>215</v>
      </c>
    </row>
    <row r="19" spans="2:16" ht="13.05" customHeight="1" x14ac:dyDescent="0.3">
      <c r="B19" s="3" t="s">
        <v>109</v>
      </c>
      <c r="C19" s="3" t="s">
        <v>221</v>
      </c>
      <c r="D19" s="3"/>
      <c r="E19" s="29" t="s">
        <v>224</v>
      </c>
      <c r="F19" s="27" t="s">
        <v>12</v>
      </c>
      <c r="G19" s="6">
        <v>-34569.040000000001</v>
      </c>
      <c r="H19" s="6">
        <v>-38722.86</v>
      </c>
      <c r="I19" s="6">
        <v>4153.82</v>
      </c>
      <c r="J19" s="7">
        <v>0.10727</v>
      </c>
      <c r="K19" s="4" t="s">
        <v>12</v>
      </c>
      <c r="L19" s="32">
        <v>-34569.040000000001</v>
      </c>
      <c r="M19" s="6">
        <v>-38722.86</v>
      </c>
      <c r="N19" s="6">
        <v>4153.82</v>
      </c>
      <c r="O19" s="7">
        <v>0.10727</v>
      </c>
      <c r="P19" s="3" t="s">
        <v>215</v>
      </c>
    </row>
    <row r="20" spans="2:16" ht="13.05" customHeight="1" x14ac:dyDescent="0.3">
      <c r="B20" s="3" t="s">
        <v>109</v>
      </c>
      <c r="C20" s="3" t="s">
        <v>213</v>
      </c>
      <c r="D20" s="3" t="s">
        <v>1618</v>
      </c>
      <c r="E20" s="29" t="s">
        <v>224</v>
      </c>
      <c r="F20" s="27" t="s">
        <v>12</v>
      </c>
      <c r="G20" s="6">
        <v>-473674.37</v>
      </c>
      <c r="H20" s="48">
        <v>-891652.65</v>
      </c>
      <c r="I20" s="6">
        <v>417978.28</v>
      </c>
      <c r="J20" s="7">
        <v>0.46876800000000002</v>
      </c>
      <c r="K20" s="4" t="s">
        <v>12</v>
      </c>
      <c r="L20" s="32">
        <v>-473674.37</v>
      </c>
      <c r="M20" s="6">
        <v>-891652.65</v>
      </c>
      <c r="N20" s="6">
        <v>417978.28</v>
      </c>
      <c r="O20" s="7">
        <v>0.46876800000000002</v>
      </c>
      <c r="P20" s="3" t="s">
        <v>215</v>
      </c>
    </row>
    <row r="21" spans="2:16" ht="13.05" customHeight="1" x14ac:dyDescent="0.3">
      <c r="B21" s="3" t="s">
        <v>111</v>
      </c>
      <c r="C21" s="3" t="s">
        <v>221</v>
      </c>
      <c r="D21" s="3"/>
      <c r="E21" s="29" t="s">
        <v>225</v>
      </c>
      <c r="F21" s="27" t="s">
        <v>12</v>
      </c>
      <c r="G21" s="6">
        <v>502056.73</v>
      </c>
      <c r="H21" s="6">
        <v>926282.28</v>
      </c>
      <c r="I21" s="6">
        <v>-424225.55</v>
      </c>
      <c r="J21" s="7">
        <v>-0.45798699999999998</v>
      </c>
      <c r="K21" s="4" t="s">
        <v>12</v>
      </c>
      <c r="L21" s="32">
        <v>502056.73</v>
      </c>
      <c r="M21" s="6">
        <v>926282.28</v>
      </c>
      <c r="N21" s="6">
        <v>-424225.55</v>
      </c>
      <c r="O21" s="7">
        <v>-0.45798699999999998</v>
      </c>
      <c r="P21" s="3" t="s">
        <v>215</v>
      </c>
    </row>
    <row r="22" spans="2:16" ht="13.05" customHeight="1" x14ac:dyDescent="0.3">
      <c r="B22" s="3" t="s">
        <v>113</v>
      </c>
      <c r="C22" s="3" t="s">
        <v>221</v>
      </c>
      <c r="D22" s="3" t="s">
        <v>1619</v>
      </c>
      <c r="E22" s="29" t="s">
        <v>226</v>
      </c>
      <c r="F22" s="27" t="s">
        <v>12</v>
      </c>
      <c r="G22" s="6">
        <v>-229.32</v>
      </c>
      <c r="H22" s="6">
        <v>-221.31</v>
      </c>
      <c r="I22" s="6">
        <v>-8.01</v>
      </c>
      <c r="J22" s="7">
        <v>-3.6193999999999997E-2</v>
      </c>
      <c r="K22" s="4" t="s">
        <v>12</v>
      </c>
      <c r="L22" s="32">
        <v>-229.32</v>
      </c>
      <c r="M22" s="6">
        <v>-221.31</v>
      </c>
      <c r="N22" s="6">
        <v>-8.01</v>
      </c>
      <c r="O22" s="7">
        <v>-3.6193999999999997E-2</v>
      </c>
      <c r="P22" s="3" t="s">
        <v>215</v>
      </c>
    </row>
    <row r="23" spans="2:16" ht="13.05" customHeight="1" x14ac:dyDescent="0.3">
      <c r="B23" s="3" t="s">
        <v>113</v>
      </c>
      <c r="C23" s="3" t="s">
        <v>213</v>
      </c>
      <c r="D23" s="3" t="s">
        <v>1620</v>
      </c>
      <c r="E23" s="29" t="s">
        <v>226</v>
      </c>
      <c r="F23" s="27" t="s">
        <v>12</v>
      </c>
      <c r="G23" s="6">
        <v>-2700</v>
      </c>
      <c r="H23" s="6">
        <v>-4949.41</v>
      </c>
      <c r="I23" s="6">
        <v>2249.41</v>
      </c>
      <c r="J23" s="7">
        <v>0.45448</v>
      </c>
      <c r="K23" s="4" t="s">
        <v>12</v>
      </c>
      <c r="L23" s="32">
        <v>-2700</v>
      </c>
      <c r="M23" s="6">
        <v>-4949.41</v>
      </c>
      <c r="N23" s="6">
        <v>2249.41</v>
      </c>
      <c r="O23" s="7">
        <v>0.45448</v>
      </c>
      <c r="P23" s="3" t="s">
        <v>215</v>
      </c>
    </row>
    <row r="24" spans="2:16" ht="13.05" customHeight="1" x14ac:dyDescent="0.3">
      <c r="B24" s="3" t="s">
        <v>115</v>
      </c>
      <c r="C24" s="3" t="s">
        <v>221</v>
      </c>
      <c r="D24" s="3" t="s">
        <v>1621</v>
      </c>
      <c r="E24" s="29" t="s">
        <v>227</v>
      </c>
      <c r="F24" s="27" t="s">
        <v>12</v>
      </c>
      <c r="G24" s="6">
        <v>-305.75</v>
      </c>
      <c r="H24" s="6">
        <v>-295.08</v>
      </c>
      <c r="I24" s="6">
        <v>-10.67</v>
      </c>
      <c r="J24" s="7">
        <v>-3.6159999999999998E-2</v>
      </c>
      <c r="K24" s="4" t="s">
        <v>12</v>
      </c>
      <c r="L24" s="32">
        <v>-305.75</v>
      </c>
      <c r="M24" s="6">
        <v>-295.08</v>
      </c>
      <c r="N24" s="6">
        <v>-10.67</v>
      </c>
      <c r="O24" s="7">
        <v>-3.6159999999999998E-2</v>
      </c>
      <c r="P24" s="3" t="s">
        <v>215</v>
      </c>
    </row>
    <row r="25" spans="2:16" ht="13.05" customHeight="1" x14ac:dyDescent="0.3">
      <c r="B25" s="3" t="s">
        <v>115</v>
      </c>
      <c r="C25" s="3" t="s">
        <v>213</v>
      </c>
      <c r="D25" s="3" t="s">
        <v>1622</v>
      </c>
      <c r="E25" s="29" t="s">
        <v>227</v>
      </c>
      <c r="F25" s="27" t="s">
        <v>12</v>
      </c>
      <c r="G25" s="6">
        <v>-3600.01</v>
      </c>
      <c r="H25" s="6">
        <v>-6599.15</v>
      </c>
      <c r="I25" s="6">
        <v>2999.14</v>
      </c>
      <c r="J25" s="7">
        <v>0.45447399999999999</v>
      </c>
      <c r="K25" s="4" t="s">
        <v>12</v>
      </c>
      <c r="L25" s="32">
        <v>-3600.01</v>
      </c>
      <c r="M25" s="6">
        <v>-6599.15</v>
      </c>
      <c r="N25" s="6">
        <v>2999.14</v>
      </c>
      <c r="O25" s="7">
        <v>0.45447399999999999</v>
      </c>
      <c r="P25" s="3" t="s">
        <v>215</v>
      </c>
    </row>
    <row r="26" spans="2:16" ht="13.05" customHeight="1" x14ac:dyDescent="0.3">
      <c r="B26" s="3" t="s">
        <v>117</v>
      </c>
      <c r="C26" s="3" t="s">
        <v>221</v>
      </c>
      <c r="D26" s="3" t="s">
        <v>1623</v>
      </c>
      <c r="E26" s="29" t="s">
        <v>228</v>
      </c>
      <c r="F26" s="27" t="s">
        <v>12</v>
      </c>
      <c r="G26" s="6">
        <v>-14750.32</v>
      </c>
      <c r="H26" s="6">
        <v>-11456.1</v>
      </c>
      <c r="I26" s="6">
        <v>-3294.22</v>
      </c>
      <c r="J26" s="7">
        <v>-0.28755199999999997</v>
      </c>
      <c r="K26" s="4" t="s">
        <v>12</v>
      </c>
      <c r="L26" s="32">
        <v>-14750.32</v>
      </c>
      <c r="M26" s="6">
        <v>-11456.1</v>
      </c>
      <c r="N26" s="6">
        <v>-3294.22</v>
      </c>
      <c r="O26" s="7">
        <v>-0.28755199999999997</v>
      </c>
      <c r="P26" s="3" t="s">
        <v>215</v>
      </c>
    </row>
    <row r="27" spans="2:16" ht="13.05" customHeight="1" x14ac:dyDescent="0.3">
      <c r="B27" s="3" t="s">
        <v>119</v>
      </c>
      <c r="C27" s="3" t="s">
        <v>221</v>
      </c>
      <c r="D27" s="3" t="s">
        <v>1624</v>
      </c>
      <c r="E27" s="29" t="s">
        <v>229</v>
      </c>
      <c r="F27" s="27" t="s">
        <v>12</v>
      </c>
      <c r="G27" s="6">
        <v>-493.84</v>
      </c>
      <c r="H27" s="6">
        <v>-553.17999999999995</v>
      </c>
      <c r="I27" s="6">
        <v>59.34</v>
      </c>
      <c r="J27" s="7">
        <v>0.10727100000000001</v>
      </c>
      <c r="K27" s="4" t="s">
        <v>12</v>
      </c>
      <c r="L27" s="32">
        <v>-493.84</v>
      </c>
      <c r="M27" s="6">
        <v>-553.17999999999995</v>
      </c>
      <c r="N27" s="6">
        <v>59.34</v>
      </c>
      <c r="O27" s="7">
        <v>0.10727100000000001</v>
      </c>
      <c r="P27" s="3" t="s">
        <v>215</v>
      </c>
    </row>
    <row r="28" spans="2:16" ht="13.05" customHeight="1" x14ac:dyDescent="0.3">
      <c r="B28" s="3" t="s">
        <v>119</v>
      </c>
      <c r="C28" s="3" t="s">
        <v>213</v>
      </c>
      <c r="D28" s="3" t="s">
        <v>1625</v>
      </c>
      <c r="E28" s="29" t="s">
        <v>229</v>
      </c>
      <c r="F28" s="27" t="s">
        <v>12</v>
      </c>
      <c r="G28" s="6">
        <v>-6766.78</v>
      </c>
      <c r="H28" s="6">
        <v>-12737.89</v>
      </c>
      <c r="I28" s="6">
        <v>5971.11</v>
      </c>
      <c r="J28" s="7">
        <v>0.46876800000000002</v>
      </c>
      <c r="K28" s="4" t="s">
        <v>12</v>
      </c>
      <c r="L28" s="32">
        <v>-6766.78</v>
      </c>
      <c r="M28" s="6">
        <v>-12737.89</v>
      </c>
      <c r="N28" s="6">
        <v>5971.11</v>
      </c>
      <c r="O28" s="7">
        <v>0.46876800000000002</v>
      </c>
      <c r="P28" s="3" t="s">
        <v>215</v>
      </c>
    </row>
    <row r="29" spans="2:16" ht="13.05" customHeight="1" x14ac:dyDescent="0.3">
      <c r="B29" s="3" t="s">
        <v>121</v>
      </c>
      <c r="C29" s="3" t="s">
        <v>221</v>
      </c>
      <c r="D29" s="3"/>
      <c r="E29" s="29" t="s">
        <v>230</v>
      </c>
      <c r="F29" s="27" t="s">
        <v>12</v>
      </c>
      <c r="G29" s="6">
        <v>14484.84</v>
      </c>
      <c r="H29" s="6">
        <v>21009.13</v>
      </c>
      <c r="I29" s="6">
        <v>-6524.29</v>
      </c>
      <c r="J29" s="7">
        <v>-0.31054500000000002</v>
      </c>
      <c r="K29" s="4" t="s">
        <v>12</v>
      </c>
      <c r="L29" s="32">
        <v>14484.84</v>
      </c>
      <c r="M29" s="6">
        <v>21009.13</v>
      </c>
      <c r="N29" s="6">
        <v>-6524.29</v>
      </c>
      <c r="O29" s="7">
        <v>-0.31054500000000002</v>
      </c>
      <c r="P29" s="3" t="s">
        <v>215</v>
      </c>
    </row>
    <row r="30" spans="2:16" ht="13.05" customHeight="1" x14ac:dyDescent="0.3">
      <c r="B30" s="3" t="s">
        <v>123</v>
      </c>
      <c r="C30" s="3" t="s">
        <v>221</v>
      </c>
      <c r="D30" s="3"/>
      <c r="E30" s="29" t="s">
        <v>231</v>
      </c>
      <c r="F30" s="27" t="s">
        <v>12</v>
      </c>
      <c r="G30" s="6">
        <v>-11379.03</v>
      </c>
      <c r="H30" s="6">
        <v>-8908.31</v>
      </c>
      <c r="I30" s="6">
        <v>-2470.7199999999998</v>
      </c>
      <c r="J30" s="7">
        <v>-0.27734999999999999</v>
      </c>
      <c r="K30" s="4" t="s">
        <v>12</v>
      </c>
      <c r="L30" s="32">
        <v>-11379.03</v>
      </c>
      <c r="M30" s="6">
        <v>-8908.31</v>
      </c>
      <c r="N30" s="6">
        <v>-2470.7199999999998</v>
      </c>
      <c r="O30" s="7">
        <v>-0.27734999999999999</v>
      </c>
      <c r="P30" s="3" t="s">
        <v>215</v>
      </c>
    </row>
    <row r="31" spans="2:16" ht="13.05" customHeight="1" x14ac:dyDescent="0.3">
      <c r="B31" s="3" t="s">
        <v>125</v>
      </c>
      <c r="C31" s="3" t="s">
        <v>221</v>
      </c>
      <c r="D31" s="3"/>
      <c r="E31" s="29" t="s">
        <v>232</v>
      </c>
      <c r="F31" s="27" t="s">
        <v>12</v>
      </c>
      <c r="G31" s="6">
        <v>-1709.76</v>
      </c>
      <c r="H31" s="6">
        <v>-1650.08</v>
      </c>
      <c r="I31" s="6">
        <v>-59.68</v>
      </c>
      <c r="J31" s="7">
        <v>-3.6167999999999999E-2</v>
      </c>
      <c r="K31" s="4" t="s">
        <v>12</v>
      </c>
      <c r="L31" s="32">
        <v>-1709.76</v>
      </c>
      <c r="M31" s="6">
        <v>-1650.08</v>
      </c>
      <c r="N31" s="6">
        <v>-59.68</v>
      </c>
      <c r="O31" s="7">
        <v>-3.6167999999999999E-2</v>
      </c>
      <c r="P31" s="3" t="s">
        <v>215</v>
      </c>
    </row>
    <row r="32" spans="2:16" ht="13.05" customHeight="1" x14ac:dyDescent="0.3">
      <c r="B32" s="3" t="s">
        <v>125</v>
      </c>
      <c r="C32" s="3" t="s">
        <v>213</v>
      </c>
      <c r="D32" s="3" t="s">
        <v>1626</v>
      </c>
      <c r="E32" s="29" t="s">
        <v>232</v>
      </c>
      <c r="F32" s="27" t="s">
        <v>12</v>
      </c>
      <c r="G32" s="6">
        <v>-21836.04</v>
      </c>
      <c r="H32" s="6">
        <v>-21840.560000000001</v>
      </c>
      <c r="I32" s="6">
        <v>4.5199999999999996</v>
      </c>
      <c r="J32" s="7">
        <v>2.0699999999999999E-4</v>
      </c>
      <c r="K32" s="4" t="s">
        <v>12</v>
      </c>
      <c r="L32" s="32">
        <v>-21836.04</v>
      </c>
      <c r="M32" s="6">
        <v>-21840.560000000001</v>
      </c>
      <c r="N32" s="6">
        <v>4.5199999999999996</v>
      </c>
      <c r="O32" s="7">
        <v>2.0699999999999999E-4</v>
      </c>
      <c r="P32" s="3" t="s">
        <v>215</v>
      </c>
    </row>
    <row r="33" spans="2:16" ht="13.05" customHeight="1" x14ac:dyDescent="0.3">
      <c r="B33" s="3" t="s">
        <v>127</v>
      </c>
      <c r="C33" s="3" t="s">
        <v>221</v>
      </c>
      <c r="D33" s="3"/>
      <c r="E33" s="29" t="s">
        <v>233</v>
      </c>
      <c r="F33" s="27" t="s">
        <v>12</v>
      </c>
      <c r="G33" s="6">
        <v>-2972.6</v>
      </c>
      <c r="H33" s="6">
        <v>-2868.85</v>
      </c>
      <c r="I33" s="6">
        <v>-103.75</v>
      </c>
      <c r="J33" s="7">
        <v>-3.6164000000000002E-2</v>
      </c>
      <c r="K33" s="4" t="s">
        <v>12</v>
      </c>
      <c r="L33" s="32">
        <v>-2972.6</v>
      </c>
      <c r="M33" s="6">
        <v>-2868.85</v>
      </c>
      <c r="N33" s="6">
        <v>-103.75</v>
      </c>
      <c r="O33" s="7">
        <v>-3.6164000000000002E-2</v>
      </c>
      <c r="P33" s="3" t="s">
        <v>215</v>
      </c>
    </row>
    <row r="34" spans="2:16" ht="13.05" customHeight="1" x14ac:dyDescent="0.3">
      <c r="B34" s="3" t="s">
        <v>127</v>
      </c>
      <c r="C34" s="3" t="s">
        <v>213</v>
      </c>
      <c r="D34" s="3"/>
      <c r="E34" s="29" t="s">
        <v>233</v>
      </c>
      <c r="F34" s="27" t="s">
        <v>12</v>
      </c>
      <c r="G34" s="6">
        <v>-34999.980000000003</v>
      </c>
      <c r="H34" s="6">
        <v>-64158.5</v>
      </c>
      <c r="I34" s="6">
        <v>29158.52</v>
      </c>
      <c r="J34" s="7">
        <v>0.45447599999999999</v>
      </c>
      <c r="K34" s="4" t="s">
        <v>12</v>
      </c>
      <c r="L34" s="32">
        <v>-34999.980000000003</v>
      </c>
      <c r="M34" s="6">
        <v>-64158.5</v>
      </c>
      <c r="N34" s="6">
        <v>29158.52</v>
      </c>
      <c r="O34" s="7">
        <v>0.45447599999999999</v>
      </c>
      <c r="P34" s="3" t="s">
        <v>215</v>
      </c>
    </row>
    <row r="35" spans="2:16" ht="13.05" customHeight="1" x14ac:dyDescent="0.3">
      <c r="B35" s="3" t="s">
        <v>129</v>
      </c>
      <c r="C35" s="3" t="s">
        <v>221</v>
      </c>
      <c r="D35" s="3"/>
      <c r="E35" s="29" t="s">
        <v>234</v>
      </c>
      <c r="F35" s="27" t="s">
        <v>12</v>
      </c>
      <c r="G35" s="6">
        <v>-21812.01</v>
      </c>
      <c r="H35" s="6">
        <v>10215.36</v>
      </c>
      <c r="I35" s="6">
        <v>-32027.37</v>
      </c>
      <c r="J35" s="7">
        <v>-3.1352169999999999</v>
      </c>
      <c r="K35" s="4" t="s">
        <v>12</v>
      </c>
      <c r="L35" s="32">
        <v>-21812.01</v>
      </c>
      <c r="M35" s="6">
        <v>10215.36</v>
      </c>
      <c r="N35" s="6">
        <v>-32027.37</v>
      </c>
      <c r="O35" s="7">
        <v>-3.1352169999999999</v>
      </c>
      <c r="P35" s="3" t="s">
        <v>215</v>
      </c>
    </row>
    <row r="36" spans="2:16" ht="13.05" customHeight="1" x14ac:dyDescent="0.3">
      <c r="B36" s="3" t="s">
        <v>129</v>
      </c>
      <c r="C36" s="3" t="s">
        <v>221</v>
      </c>
      <c r="D36" s="3"/>
      <c r="E36" s="29" t="s">
        <v>234</v>
      </c>
      <c r="F36" s="27" t="s">
        <v>217</v>
      </c>
      <c r="G36" s="6">
        <v>19016</v>
      </c>
      <c r="H36" s="6">
        <v>19016</v>
      </c>
      <c r="I36" s="6">
        <v>0</v>
      </c>
      <c r="J36" s="7">
        <v>0</v>
      </c>
      <c r="K36" s="4" t="s">
        <v>12</v>
      </c>
      <c r="L36" s="32">
        <v>18365.849999999999</v>
      </c>
      <c r="M36" s="6">
        <v>17978.63</v>
      </c>
      <c r="N36" s="6">
        <v>387.22</v>
      </c>
      <c r="O36" s="7">
        <v>2.1538000000000002E-2</v>
      </c>
      <c r="P36" s="3" t="s">
        <v>215</v>
      </c>
    </row>
    <row r="37" spans="2:16" ht="13.05" customHeight="1" x14ac:dyDescent="0.3">
      <c r="B37" s="3" t="s">
        <v>131</v>
      </c>
      <c r="C37" s="3" t="s">
        <v>221</v>
      </c>
      <c r="D37" s="3" t="s">
        <v>1627</v>
      </c>
      <c r="E37" s="29" t="s">
        <v>235</v>
      </c>
      <c r="F37" s="27" t="s">
        <v>12</v>
      </c>
      <c r="G37" s="6">
        <v>-24733</v>
      </c>
      <c r="H37" s="6">
        <v>-23078.400000000001</v>
      </c>
      <c r="I37" s="6">
        <v>-1654.6</v>
      </c>
      <c r="J37" s="7">
        <v>-7.1694999999999995E-2</v>
      </c>
      <c r="K37" s="4" t="s">
        <v>12</v>
      </c>
      <c r="L37" s="32">
        <v>-24733</v>
      </c>
      <c r="M37" s="6">
        <v>-23078.400000000001</v>
      </c>
      <c r="N37" s="6">
        <v>-1654.6</v>
      </c>
      <c r="O37" s="7">
        <v>-7.1694999999999995E-2</v>
      </c>
      <c r="P37" s="3" t="s">
        <v>215</v>
      </c>
    </row>
    <row r="38" spans="2:16" ht="13.05" customHeight="1" x14ac:dyDescent="0.3">
      <c r="B38" s="3" t="s">
        <v>133</v>
      </c>
      <c r="C38" s="3" t="s">
        <v>221</v>
      </c>
      <c r="D38" s="3"/>
      <c r="E38" s="29" t="s">
        <v>236</v>
      </c>
      <c r="F38" s="27" t="s">
        <v>12</v>
      </c>
      <c r="G38" s="6">
        <v>-570.99</v>
      </c>
      <c r="H38" s="6">
        <v>-551.07000000000005</v>
      </c>
      <c r="I38" s="6">
        <v>-19.920000000000002</v>
      </c>
      <c r="J38" s="7">
        <v>-3.6148E-2</v>
      </c>
      <c r="K38" s="4" t="s">
        <v>12</v>
      </c>
      <c r="L38" s="32">
        <v>-570.99</v>
      </c>
      <c r="M38" s="6">
        <v>-551.07000000000005</v>
      </c>
      <c r="N38" s="6">
        <v>-19.920000000000002</v>
      </c>
      <c r="O38" s="7">
        <v>-3.6148E-2</v>
      </c>
      <c r="P38" s="3" t="s">
        <v>215</v>
      </c>
    </row>
    <row r="39" spans="2:16" ht="13.05" customHeight="1" x14ac:dyDescent="0.3">
      <c r="B39" s="3" t="s">
        <v>133</v>
      </c>
      <c r="C39" s="3" t="s">
        <v>213</v>
      </c>
      <c r="D39" s="3"/>
      <c r="E39" s="29" t="s">
        <v>236</v>
      </c>
      <c r="F39" s="27" t="s">
        <v>12</v>
      </c>
      <c r="G39" s="6">
        <v>-4463.63</v>
      </c>
      <c r="H39" s="6">
        <v>-10064.56</v>
      </c>
      <c r="I39" s="6">
        <v>5600.93</v>
      </c>
      <c r="J39" s="7">
        <v>0.55649999999999999</v>
      </c>
      <c r="K39" s="4" t="s">
        <v>12</v>
      </c>
      <c r="L39" s="32">
        <v>-4463.63</v>
      </c>
      <c r="M39" s="6">
        <v>-10064.56</v>
      </c>
      <c r="N39" s="6">
        <v>5600.93</v>
      </c>
      <c r="O39" s="7">
        <v>0.55649999999999999</v>
      </c>
      <c r="P39" s="3" t="s">
        <v>215</v>
      </c>
    </row>
    <row r="40" spans="2:16" ht="13.05" customHeight="1" x14ac:dyDescent="0.3">
      <c r="B40" s="3" t="s">
        <v>135</v>
      </c>
      <c r="C40" s="3" t="s">
        <v>221</v>
      </c>
      <c r="D40" s="3"/>
      <c r="E40" s="29" t="s">
        <v>237</v>
      </c>
      <c r="F40" s="27" t="s">
        <v>12</v>
      </c>
      <c r="G40" s="6">
        <v>2343.81</v>
      </c>
      <c r="H40" s="6">
        <v>4695.5</v>
      </c>
      <c r="I40" s="6">
        <v>-2351.69</v>
      </c>
      <c r="J40" s="7">
        <v>-0.50083900000000003</v>
      </c>
      <c r="K40" s="4" t="s">
        <v>12</v>
      </c>
      <c r="L40" s="32">
        <v>2343.81</v>
      </c>
      <c r="M40" s="6">
        <v>4695.5</v>
      </c>
      <c r="N40" s="6">
        <v>-2351.69</v>
      </c>
      <c r="O40" s="7">
        <v>-0.50083900000000003</v>
      </c>
      <c r="P40" s="3" t="s">
        <v>215</v>
      </c>
    </row>
    <row r="41" spans="2:16" ht="13.05" customHeight="1" x14ac:dyDescent="0.3">
      <c r="B41" s="3" t="s">
        <v>137</v>
      </c>
      <c r="C41" s="3" t="s">
        <v>221</v>
      </c>
      <c r="D41" s="3"/>
      <c r="E41" s="29" t="s">
        <v>238</v>
      </c>
      <c r="F41" s="27" t="s">
        <v>12</v>
      </c>
      <c r="G41" s="6">
        <v>-250.98</v>
      </c>
      <c r="H41" s="6">
        <v>5901.02</v>
      </c>
      <c r="I41" s="6">
        <v>-6152</v>
      </c>
      <c r="J41" s="7">
        <v>-1.042532</v>
      </c>
      <c r="K41" s="4" t="s">
        <v>12</v>
      </c>
      <c r="L41" s="32">
        <v>-250.98</v>
      </c>
      <c r="M41" s="6">
        <v>5901.02</v>
      </c>
      <c r="N41" s="6">
        <v>-6152</v>
      </c>
      <c r="O41" s="7">
        <v>-1.042532</v>
      </c>
      <c r="P41" s="3" t="s">
        <v>215</v>
      </c>
    </row>
    <row r="42" spans="2:16" ht="13.05" customHeight="1" x14ac:dyDescent="0.3">
      <c r="B42" s="3" t="s">
        <v>139</v>
      </c>
      <c r="C42" s="3" t="s">
        <v>221</v>
      </c>
      <c r="D42" s="3"/>
      <c r="E42" s="29" t="s">
        <v>239</v>
      </c>
      <c r="F42" s="27" t="s">
        <v>12</v>
      </c>
      <c r="G42" s="6">
        <v>1292.98</v>
      </c>
      <c r="H42" s="6">
        <v>4565.2299999999996</v>
      </c>
      <c r="I42" s="6">
        <v>-3272.25</v>
      </c>
      <c r="J42" s="7">
        <v>-0.716777</v>
      </c>
      <c r="K42" s="4" t="s">
        <v>12</v>
      </c>
      <c r="L42" s="32">
        <v>1292.98</v>
      </c>
      <c r="M42" s="6">
        <v>4565.2299999999996</v>
      </c>
      <c r="N42" s="6">
        <v>-3272.25</v>
      </c>
      <c r="O42" s="7">
        <v>-0.716777</v>
      </c>
      <c r="P42" s="3" t="s">
        <v>215</v>
      </c>
    </row>
    <row r="43" spans="2:16" ht="13.05" customHeight="1" x14ac:dyDescent="0.3">
      <c r="B43" s="3" t="s">
        <v>141</v>
      </c>
      <c r="C43" s="3" t="s">
        <v>221</v>
      </c>
      <c r="D43" s="3"/>
      <c r="E43" s="29" t="s">
        <v>240</v>
      </c>
      <c r="F43" s="27" t="s">
        <v>12</v>
      </c>
      <c r="G43" s="6">
        <v>-63.52</v>
      </c>
      <c r="H43" s="6">
        <v>-61.48</v>
      </c>
      <c r="I43" s="6">
        <v>-2.04</v>
      </c>
      <c r="J43" s="7">
        <v>-3.3182000000000003E-2</v>
      </c>
      <c r="K43" s="4" t="s">
        <v>12</v>
      </c>
      <c r="L43" s="32">
        <v>-63.52</v>
      </c>
      <c r="M43" s="6">
        <v>-61.48</v>
      </c>
      <c r="N43" s="6">
        <v>-2.04</v>
      </c>
      <c r="O43" s="7">
        <v>-3.3182000000000003E-2</v>
      </c>
      <c r="P43" s="3" t="s">
        <v>215</v>
      </c>
    </row>
    <row r="44" spans="2:16" ht="13.05" customHeight="1" x14ac:dyDescent="0.3">
      <c r="B44" s="3" t="s">
        <v>141</v>
      </c>
      <c r="C44" s="3" t="s">
        <v>213</v>
      </c>
      <c r="D44" s="3"/>
      <c r="E44" s="29" t="s">
        <v>240</v>
      </c>
      <c r="F44" s="27" t="s">
        <v>12</v>
      </c>
      <c r="G44" s="6">
        <v>-750.17</v>
      </c>
      <c r="H44" s="6">
        <v>-1374.98</v>
      </c>
      <c r="I44" s="6">
        <v>624.80999999999995</v>
      </c>
      <c r="J44" s="7">
        <v>0.45441399999999998</v>
      </c>
      <c r="K44" s="4" t="s">
        <v>12</v>
      </c>
      <c r="L44" s="32">
        <v>-750.17</v>
      </c>
      <c r="M44" s="6">
        <v>-1374.98</v>
      </c>
      <c r="N44" s="6">
        <v>624.80999999999995</v>
      </c>
      <c r="O44" s="7">
        <v>0.45441399999999998</v>
      </c>
      <c r="P44" s="3" t="s">
        <v>215</v>
      </c>
    </row>
    <row r="45" spans="2:16" ht="13.05" customHeight="1" x14ac:dyDescent="0.3">
      <c r="B45" s="3" t="s">
        <v>143</v>
      </c>
      <c r="C45" s="3" t="s">
        <v>221</v>
      </c>
      <c r="D45" s="3"/>
      <c r="E45" s="29" t="s">
        <v>241</v>
      </c>
      <c r="F45" s="27" t="s">
        <v>12</v>
      </c>
      <c r="G45" s="6"/>
      <c r="H45" s="6">
        <v>2352.38</v>
      </c>
      <c r="I45" s="6">
        <v>-2352.38</v>
      </c>
      <c r="J45" s="7">
        <v>-1</v>
      </c>
      <c r="K45" s="4" t="s">
        <v>12</v>
      </c>
      <c r="L45" s="32"/>
      <c r="M45" s="6">
        <v>2352.38</v>
      </c>
      <c r="N45" s="6">
        <v>-2352.38</v>
      </c>
      <c r="O45" s="7">
        <v>-1</v>
      </c>
      <c r="P45" s="3" t="s">
        <v>215</v>
      </c>
    </row>
    <row r="46" spans="2:16" ht="13.05" customHeight="1" x14ac:dyDescent="0.3">
      <c r="B46" s="3" t="s">
        <v>145</v>
      </c>
      <c r="C46" s="3" t="s">
        <v>221</v>
      </c>
      <c r="D46" s="3"/>
      <c r="E46" s="29" t="s">
        <v>242</v>
      </c>
      <c r="F46" s="27" t="s">
        <v>12</v>
      </c>
      <c r="G46" s="6">
        <v>-3703.83</v>
      </c>
      <c r="H46" s="6">
        <v>-4148.88</v>
      </c>
      <c r="I46" s="6">
        <v>445.05</v>
      </c>
      <c r="J46" s="7">
        <v>0.10727</v>
      </c>
      <c r="K46" s="4" t="s">
        <v>12</v>
      </c>
      <c r="L46" s="32">
        <v>-3703.83</v>
      </c>
      <c r="M46" s="6">
        <v>-4148.88</v>
      </c>
      <c r="N46" s="6">
        <v>445.05</v>
      </c>
      <c r="O46" s="7">
        <v>0.10727</v>
      </c>
      <c r="P46" s="3" t="s">
        <v>215</v>
      </c>
    </row>
    <row r="47" spans="2:16" ht="13.05" customHeight="1" x14ac:dyDescent="0.3">
      <c r="B47" s="3" t="s">
        <v>145</v>
      </c>
      <c r="C47" s="3" t="s">
        <v>213</v>
      </c>
      <c r="D47" s="3"/>
      <c r="E47" s="29" t="s">
        <v>242</v>
      </c>
      <c r="F47" s="27" t="s">
        <v>12</v>
      </c>
      <c r="G47" s="6">
        <v>-46367.69</v>
      </c>
      <c r="H47" s="6">
        <v>-86670.95</v>
      </c>
      <c r="I47" s="6">
        <v>40303.26</v>
      </c>
      <c r="J47" s="7">
        <v>0.46501500000000001</v>
      </c>
      <c r="K47" s="4" t="s">
        <v>12</v>
      </c>
      <c r="L47" s="32">
        <v>-46367.69</v>
      </c>
      <c r="M47" s="6">
        <v>-86670.95</v>
      </c>
      <c r="N47" s="6">
        <v>40303.26</v>
      </c>
      <c r="O47" s="7">
        <v>0.46501500000000001</v>
      </c>
      <c r="P47" s="3" t="s">
        <v>215</v>
      </c>
    </row>
    <row r="48" spans="2:16" ht="13.05" customHeight="1" x14ac:dyDescent="0.3">
      <c r="B48" s="3" t="s">
        <v>147</v>
      </c>
      <c r="C48" s="3" t="s">
        <v>221</v>
      </c>
      <c r="D48" s="3"/>
      <c r="E48" s="29" t="s">
        <v>243</v>
      </c>
      <c r="F48" s="27" t="s">
        <v>12</v>
      </c>
      <c r="G48" s="6">
        <v>-1175.24</v>
      </c>
      <c r="H48" s="6">
        <v>-1134.22</v>
      </c>
      <c r="I48" s="6">
        <v>-41.02</v>
      </c>
      <c r="J48" s="7">
        <v>-3.6165999999999997E-2</v>
      </c>
      <c r="K48" s="4" t="s">
        <v>12</v>
      </c>
      <c r="L48" s="32">
        <v>-1175.24</v>
      </c>
      <c r="M48" s="6">
        <v>-1134.22</v>
      </c>
      <c r="N48" s="6">
        <v>-41.02</v>
      </c>
      <c r="O48" s="7">
        <v>-3.6165999999999997E-2</v>
      </c>
      <c r="P48" s="3" t="s">
        <v>215</v>
      </c>
    </row>
    <row r="49" spans="2:16" ht="13.05" customHeight="1" x14ac:dyDescent="0.3">
      <c r="B49" s="3" t="s">
        <v>147</v>
      </c>
      <c r="C49" s="3" t="s">
        <v>213</v>
      </c>
      <c r="D49" s="3"/>
      <c r="E49" s="29" t="s">
        <v>243</v>
      </c>
      <c r="F49" s="27" t="s">
        <v>12</v>
      </c>
      <c r="G49" s="6">
        <v>-9187.19</v>
      </c>
      <c r="H49" s="6">
        <v>-20715.240000000002</v>
      </c>
      <c r="I49" s="6">
        <v>11528.05</v>
      </c>
      <c r="J49" s="7">
        <v>0.55650100000000002</v>
      </c>
      <c r="K49" s="4" t="s">
        <v>12</v>
      </c>
      <c r="L49" s="32">
        <v>-9187.19</v>
      </c>
      <c r="M49" s="6">
        <v>-20715.240000000002</v>
      </c>
      <c r="N49" s="6">
        <v>11528.05</v>
      </c>
      <c r="O49" s="7">
        <v>0.55650100000000002</v>
      </c>
      <c r="P49" s="3" t="s">
        <v>215</v>
      </c>
    </row>
    <row r="50" spans="2:16" ht="13.05" customHeight="1" x14ac:dyDescent="0.3">
      <c r="B50" s="3" t="s">
        <v>149</v>
      </c>
      <c r="C50" s="3" t="s">
        <v>221</v>
      </c>
      <c r="D50" s="3"/>
      <c r="E50" s="29" t="s">
        <v>244</v>
      </c>
      <c r="F50" s="27" t="s">
        <v>12</v>
      </c>
      <c r="G50" s="6">
        <v>-53.29</v>
      </c>
      <c r="H50" s="6">
        <v>-51.43</v>
      </c>
      <c r="I50" s="6">
        <v>-1.86</v>
      </c>
      <c r="J50" s="7">
        <v>-3.6165999999999997E-2</v>
      </c>
      <c r="K50" s="4" t="s">
        <v>12</v>
      </c>
      <c r="L50" s="32">
        <v>-53.29</v>
      </c>
      <c r="M50" s="6">
        <v>-51.43</v>
      </c>
      <c r="N50" s="6">
        <v>-1.86</v>
      </c>
      <c r="O50" s="7">
        <v>-3.6165999999999997E-2</v>
      </c>
      <c r="P50" s="3" t="s">
        <v>215</v>
      </c>
    </row>
    <row r="51" spans="2:16" ht="13.05" customHeight="1" x14ac:dyDescent="0.3">
      <c r="B51" s="3" t="s">
        <v>149</v>
      </c>
      <c r="C51" s="3" t="s">
        <v>213</v>
      </c>
      <c r="D51" s="3"/>
      <c r="E51" s="29" t="s">
        <v>244</v>
      </c>
      <c r="F51" s="27" t="s">
        <v>12</v>
      </c>
      <c r="G51" s="6">
        <v>-574.34</v>
      </c>
      <c r="H51" s="6">
        <v>-1097.1099999999999</v>
      </c>
      <c r="I51" s="6">
        <v>522.77</v>
      </c>
      <c r="J51" s="7">
        <v>0.476497</v>
      </c>
      <c r="K51" s="4" t="s">
        <v>12</v>
      </c>
      <c r="L51" s="32">
        <v>-574.34</v>
      </c>
      <c r="M51" s="6">
        <v>-1097.1099999999999</v>
      </c>
      <c r="N51" s="6">
        <v>522.77</v>
      </c>
      <c r="O51" s="7">
        <v>0.476497</v>
      </c>
      <c r="P51" s="3" t="s">
        <v>215</v>
      </c>
    </row>
    <row r="52" spans="2:16" ht="13.05" customHeight="1" x14ac:dyDescent="0.3">
      <c r="B52" s="3" t="s">
        <v>151</v>
      </c>
      <c r="C52" s="3" t="s">
        <v>221</v>
      </c>
      <c r="D52" s="3"/>
      <c r="E52" s="29" t="s">
        <v>245</v>
      </c>
      <c r="F52" s="27" t="s">
        <v>12</v>
      </c>
      <c r="G52" s="6">
        <v>-934.25</v>
      </c>
      <c r="H52" s="6">
        <v>-901.64</v>
      </c>
      <c r="I52" s="6">
        <v>-32.61</v>
      </c>
      <c r="J52" s="7">
        <v>-3.6166999999999998E-2</v>
      </c>
      <c r="K52" s="4" t="s">
        <v>12</v>
      </c>
      <c r="L52" s="32">
        <v>-934.25</v>
      </c>
      <c r="M52" s="6">
        <v>-901.64</v>
      </c>
      <c r="N52" s="6">
        <v>-32.61</v>
      </c>
      <c r="O52" s="7">
        <v>-3.6166999999999998E-2</v>
      </c>
      <c r="P52" s="3" t="s">
        <v>215</v>
      </c>
    </row>
    <row r="53" spans="2:16" ht="13.05" customHeight="1" x14ac:dyDescent="0.3">
      <c r="B53" s="3" t="s">
        <v>151</v>
      </c>
      <c r="C53" s="3" t="s">
        <v>213</v>
      </c>
      <c r="D53" s="3"/>
      <c r="E53" s="29" t="s">
        <v>245</v>
      </c>
      <c r="F53" s="27" t="s">
        <v>12</v>
      </c>
      <c r="G53" s="6">
        <v>-9196.7000000000007</v>
      </c>
      <c r="H53" s="6">
        <v>-8295.06</v>
      </c>
      <c r="I53" s="6">
        <v>-901.64</v>
      </c>
      <c r="J53" s="7">
        <v>-0.108696</v>
      </c>
      <c r="K53" s="4" t="s">
        <v>12</v>
      </c>
      <c r="L53" s="32">
        <v>-9196.7000000000007</v>
      </c>
      <c r="M53" s="6">
        <v>-8295.06</v>
      </c>
      <c r="N53" s="6">
        <v>-901.64</v>
      </c>
      <c r="O53" s="7">
        <v>-0.108696</v>
      </c>
      <c r="P53" s="3" t="s">
        <v>215</v>
      </c>
    </row>
    <row r="54" spans="2:16" ht="13.05" customHeight="1" x14ac:dyDescent="0.3">
      <c r="B54" s="3" t="s">
        <v>153</v>
      </c>
      <c r="C54" s="3" t="s">
        <v>221</v>
      </c>
      <c r="D54" s="3"/>
      <c r="E54" s="29" t="s">
        <v>246</v>
      </c>
      <c r="F54" s="27" t="s">
        <v>12</v>
      </c>
      <c r="G54" s="6">
        <v>-1250</v>
      </c>
      <c r="H54" s="6">
        <v>-1250</v>
      </c>
      <c r="I54" s="6">
        <v>0</v>
      </c>
      <c r="J54" s="7">
        <v>0</v>
      </c>
      <c r="K54" s="4" t="s">
        <v>12</v>
      </c>
      <c r="L54" s="32">
        <v>-1250</v>
      </c>
      <c r="M54" s="6">
        <v>-1250</v>
      </c>
      <c r="N54" s="6">
        <v>0</v>
      </c>
      <c r="O54" s="7">
        <v>0</v>
      </c>
      <c r="P54" s="3" t="s">
        <v>215</v>
      </c>
    </row>
    <row r="55" spans="2:16" ht="13.05" customHeight="1" x14ac:dyDescent="0.3">
      <c r="B55" s="3" t="s">
        <v>153</v>
      </c>
      <c r="C55" s="3" t="s">
        <v>213</v>
      </c>
      <c r="D55" s="3"/>
      <c r="E55" s="29" t="s">
        <v>246</v>
      </c>
      <c r="F55" s="27" t="s">
        <v>12</v>
      </c>
      <c r="G55" s="6">
        <v>-1250</v>
      </c>
      <c r="H55" s="6">
        <v>-8750</v>
      </c>
      <c r="I55" s="6">
        <v>7500</v>
      </c>
      <c r="J55" s="7">
        <v>0.85714299999999999</v>
      </c>
      <c r="K55" s="4" t="s">
        <v>12</v>
      </c>
      <c r="L55" s="32">
        <v>-1250</v>
      </c>
      <c r="M55" s="6">
        <v>-8750</v>
      </c>
      <c r="N55" s="6">
        <v>7500</v>
      </c>
      <c r="O55" s="7">
        <v>0.85714299999999999</v>
      </c>
      <c r="P55" s="3" t="s">
        <v>215</v>
      </c>
    </row>
    <row r="56" spans="2:16" ht="13.05" customHeight="1" x14ac:dyDescent="0.3">
      <c r="B56" s="3" t="s">
        <v>155</v>
      </c>
      <c r="C56" s="3" t="s">
        <v>221</v>
      </c>
      <c r="D56" s="3"/>
      <c r="E56" s="29" t="s">
        <v>247</v>
      </c>
      <c r="F56" s="27" t="s">
        <v>12</v>
      </c>
      <c r="G56" s="6">
        <v>-852.44</v>
      </c>
      <c r="H56" s="6">
        <v>-822.69</v>
      </c>
      <c r="I56" s="6">
        <v>-29.75</v>
      </c>
      <c r="J56" s="7">
        <v>-3.6162E-2</v>
      </c>
      <c r="K56" s="4" t="s">
        <v>12</v>
      </c>
      <c r="L56" s="32">
        <v>-852.44</v>
      </c>
      <c r="M56" s="6">
        <v>-822.69</v>
      </c>
      <c r="N56" s="6">
        <v>-29.75</v>
      </c>
      <c r="O56" s="7">
        <v>-3.6162E-2</v>
      </c>
      <c r="P56" s="3" t="s">
        <v>215</v>
      </c>
    </row>
    <row r="57" spans="2:16" ht="13.05" customHeight="1" x14ac:dyDescent="0.3">
      <c r="B57" s="3" t="s">
        <v>155</v>
      </c>
      <c r="C57" s="3" t="s">
        <v>213</v>
      </c>
      <c r="D57" s="3"/>
      <c r="E57" s="29" t="s">
        <v>247</v>
      </c>
      <c r="F57" s="27" t="s">
        <v>12</v>
      </c>
      <c r="G57" s="6">
        <v>-10036.799999999999</v>
      </c>
      <c r="H57" s="6">
        <v>-18398.46</v>
      </c>
      <c r="I57" s="6">
        <v>8361.66</v>
      </c>
      <c r="J57" s="7">
        <v>0.45447599999999999</v>
      </c>
      <c r="K57" s="4" t="s">
        <v>12</v>
      </c>
      <c r="L57" s="32">
        <v>-10036.799999999999</v>
      </c>
      <c r="M57" s="6">
        <v>-18398.46</v>
      </c>
      <c r="N57" s="6">
        <v>8361.66</v>
      </c>
      <c r="O57" s="7">
        <v>0.45447599999999999</v>
      </c>
      <c r="P57" s="3" t="s">
        <v>215</v>
      </c>
    </row>
    <row r="58" spans="2:16" ht="13.05" customHeight="1" x14ac:dyDescent="0.3">
      <c r="B58" s="3" t="s">
        <v>157</v>
      </c>
      <c r="C58" s="3" t="s">
        <v>221</v>
      </c>
      <c r="D58" s="3"/>
      <c r="E58" s="29" t="s">
        <v>248</v>
      </c>
      <c r="F58" s="27" t="s">
        <v>12</v>
      </c>
      <c r="G58" s="6">
        <v>11012.92</v>
      </c>
      <c r="H58" s="6">
        <v>55465.06</v>
      </c>
      <c r="I58" s="6">
        <v>-44452.14</v>
      </c>
      <c r="J58" s="7">
        <v>-0.80144400000000005</v>
      </c>
      <c r="K58" s="4" t="s">
        <v>12</v>
      </c>
      <c r="L58" s="32">
        <v>11012.92</v>
      </c>
      <c r="M58" s="6">
        <v>55465.06</v>
      </c>
      <c r="N58" s="6">
        <v>-44452.14</v>
      </c>
      <c r="O58" s="7">
        <v>-0.80144400000000005</v>
      </c>
      <c r="P58" s="3" t="s">
        <v>215</v>
      </c>
    </row>
    <row r="59" spans="2:16" ht="13.05" customHeight="1" x14ac:dyDescent="0.3">
      <c r="B59" s="3" t="s">
        <v>159</v>
      </c>
      <c r="C59" s="3" t="s">
        <v>221</v>
      </c>
      <c r="D59" s="3"/>
      <c r="E59" s="29" t="s">
        <v>249</v>
      </c>
      <c r="F59" s="27" t="s">
        <v>12</v>
      </c>
      <c r="G59" s="6">
        <v>3424.09</v>
      </c>
      <c r="H59" s="6">
        <v>16086.36</v>
      </c>
      <c r="I59" s="6">
        <v>-12662.27</v>
      </c>
      <c r="J59" s="7">
        <v>-0.78714300000000004</v>
      </c>
      <c r="K59" s="4" t="s">
        <v>12</v>
      </c>
      <c r="L59" s="32">
        <v>3424.09</v>
      </c>
      <c r="M59" s="6">
        <v>16086.36</v>
      </c>
      <c r="N59" s="6">
        <v>-12662.27</v>
      </c>
      <c r="O59" s="7">
        <v>-0.78714300000000004</v>
      </c>
      <c r="P59" s="3" t="s">
        <v>215</v>
      </c>
    </row>
    <row r="60" spans="2:16" ht="13.05" customHeight="1" x14ac:dyDescent="0.3">
      <c r="B60" s="3" t="s">
        <v>161</v>
      </c>
      <c r="C60" s="3" t="s">
        <v>221</v>
      </c>
      <c r="D60" s="3"/>
      <c r="E60" s="29" t="s">
        <v>250</v>
      </c>
      <c r="F60" s="27" t="s">
        <v>12</v>
      </c>
      <c r="G60" s="6"/>
      <c r="H60" s="6">
        <v>4930.96</v>
      </c>
      <c r="I60" s="6">
        <v>-4930.96</v>
      </c>
      <c r="J60" s="7">
        <v>-1</v>
      </c>
      <c r="K60" s="4" t="s">
        <v>12</v>
      </c>
      <c r="L60" s="32"/>
      <c r="M60" s="6">
        <v>4930.96</v>
      </c>
      <c r="N60" s="6">
        <v>-4930.96</v>
      </c>
      <c r="O60" s="7">
        <v>-1</v>
      </c>
      <c r="P60" s="3" t="s">
        <v>215</v>
      </c>
    </row>
    <row r="61" spans="2:16" ht="13.05" customHeight="1" x14ac:dyDescent="0.3">
      <c r="B61" s="3" t="s">
        <v>163</v>
      </c>
      <c r="C61" s="3" t="s">
        <v>221</v>
      </c>
      <c r="D61" s="3"/>
      <c r="E61" s="29" t="s">
        <v>251</v>
      </c>
      <c r="F61" s="27" t="s">
        <v>12</v>
      </c>
      <c r="G61" s="6">
        <v>-6269.05</v>
      </c>
      <c r="H61" s="6">
        <v>474.85</v>
      </c>
      <c r="I61" s="6">
        <v>-6743.9</v>
      </c>
      <c r="J61" s="7">
        <v>-14.202169</v>
      </c>
      <c r="K61" s="4" t="s">
        <v>12</v>
      </c>
      <c r="L61" s="32">
        <v>-6269.05</v>
      </c>
      <c r="M61" s="6">
        <v>474.85</v>
      </c>
      <c r="N61" s="6">
        <v>-6743.9</v>
      </c>
      <c r="O61" s="7">
        <v>-14.202169</v>
      </c>
      <c r="P61" s="3" t="s">
        <v>215</v>
      </c>
    </row>
    <row r="62" spans="2:16" ht="13.05" customHeight="1" x14ac:dyDescent="0.3">
      <c r="B62" s="3" t="s">
        <v>165</v>
      </c>
      <c r="C62" s="3" t="s">
        <v>221</v>
      </c>
      <c r="D62" s="3"/>
      <c r="E62" s="29" t="s">
        <v>252</v>
      </c>
      <c r="F62" s="27" t="s">
        <v>12</v>
      </c>
      <c r="G62" s="6">
        <v>-2140.67</v>
      </c>
      <c r="H62" s="6">
        <v>7859.33</v>
      </c>
      <c r="I62" s="6">
        <v>-10000</v>
      </c>
      <c r="J62" s="7">
        <v>-1.272373</v>
      </c>
      <c r="K62" s="4" t="s">
        <v>12</v>
      </c>
      <c r="L62" s="32">
        <v>-2140.67</v>
      </c>
      <c r="M62" s="6">
        <v>7859.33</v>
      </c>
      <c r="N62" s="6">
        <v>-10000</v>
      </c>
      <c r="O62" s="7">
        <v>-1.272373</v>
      </c>
      <c r="P62" s="3" t="s">
        <v>215</v>
      </c>
    </row>
    <row r="63" spans="2:16" ht="13.05" customHeight="1" x14ac:dyDescent="0.3">
      <c r="B63" s="3" t="s">
        <v>167</v>
      </c>
      <c r="C63" s="3" t="s">
        <v>221</v>
      </c>
      <c r="D63" s="3"/>
      <c r="E63" s="29" t="s">
        <v>253</v>
      </c>
      <c r="F63" s="27" t="s">
        <v>12</v>
      </c>
      <c r="G63" s="6">
        <v>-21555.75</v>
      </c>
      <c r="H63" s="6">
        <v>-12371.4</v>
      </c>
      <c r="I63" s="6">
        <v>-9184.35</v>
      </c>
      <c r="J63" s="7">
        <v>-0.74238599999999999</v>
      </c>
      <c r="K63" s="4" t="s">
        <v>12</v>
      </c>
      <c r="L63" s="32">
        <v>-21555.75</v>
      </c>
      <c r="M63" s="6">
        <v>-12371.4</v>
      </c>
      <c r="N63" s="6">
        <v>-9184.35</v>
      </c>
      <c r="O63" s="7">
        <v>-0.74238599999999999</v>
      </c>
      <c r="P63" s="3" t="s">
        <v>215</v>
      </c>
    </row>
    <row r="64" spans="2:16" ht="13.05" customHeight="1" x14ac:dyDescent="0.3">
      <c r="B64" s="3" t="s">
        <v>169</v>
      </c>
      <c r="C64" s="3" t="s">
        <v>221</v>
      </c>
      <c r="D64" s="3"/>
      <c r="E64" s="29" t="s">
        <v>254</v>
      </c>
      <c r="F64" s="27" t="s">
        <v>12</v>
      </c>
      <c r="G64" s="6"/>
      <c r="H64" s="6">
        <v>-2500</v>
      </c>
      <c r="I64" s="6">
        <v>2500</v>
      </c>
      <c r="J64" s="7">
        <v>1</v>
      </c>
      <c r="K64" s="4" t="s">
        <v>12</v>
      </c>
      <c r="L64" s="32"/>
      <c r="M64" s="6">
        <v>-2500</v>
      </c>
      <c r="N64" s="6">
        <v>2500</v>
      </c>
      <c r="O64" s="7">
        <v>1</v>
      </c>
      <c r="P64" s="3" t="s">
        <v>215</v>
      </c>
    </row>
    <row r="65" spans="2:16" ht="13.05" customHeight="1" x14ac:dyDescent="0.3">
      <c r="B65" s="3" t="s">
        <v>171</v>
      </c>
      <c r="C65" s="3" t="s">
        <v>221</v>
      </c>
      <c r="D65" s="3"/>
      <c r="E65" s="29" t="s">
        <v>255</v>
      </c>
      <c r="F65" s="27" t="s">
        <v>12</v>
      </c>
      <c r="G65" s="6">
        <v>-1029.6400000000001</v>
      </c>
      <c r="H65" s="6">
        <v>-995.69</v>
      </c>
      <c r="I65" s="6">
        <v>-33.950000000000003</v>
      </c>
      <c r="J65" s="7">
        <v>-3.4097000000000002E-2</v>
      </c>
      <c r="K65" s="4" t="s">
        <v>12</v>
      </c>
      <c r="L65" s="32">
        <v>-1029.6400000000001</v>
      </c>
      <c r="M65" s="6">
        <v>-995.69</v>
      </c>
      <c r="N65" s="6">
        <v>-33.950000000000003</v>
      </c>
      <c r="O65" s="7">
        <v>-3.4097000000000002E-2</v>
      </c>
      <c r="P65" s="3" t="s">
        <v>215</v>
      </c>
    </row>
    <row r="66" spans="2:16" ht="13.05" customHeight="1" x14ac:dyDescent="0.3">
      <c r="B66" s="3" t="s">
        <v>171</v>
      </c>
      <c r="C66" s="3" t="s">
        <v>213</v>
      </c>
      <c r="D66" s="3"/>
      <c r="E66" s="29" t="s">
        <v>255</v>
      </c>
      <c r="F66" s="27" t="s">
        <v>12</v>
      </c>
      <c r="G66" s="6">
        <v>-3020.29</v>
      </c>
      <c r="H66" s="6">
        <v>-5077.9399999999996</v>
      </c>
      <c r="I66" s="6">
        <v>2057.65</v>
      </c>
      <c r="J66" s="7">
        <v>0.40521400000000002</v>
      </c>
      <c r="K66" s="4" t="s">
        <v>12</v>
      </c>
      <c r="L66" s="32">
        <v>-3020.29</v>
      </c>
      <c r="M66" s="6">
        <v>-5077.9399999999996</v>
      </c>
      <c r="N66" s="6">
        <v>2057.65</v>
      </c>
      <c r="O66" s="7">
        <v>0.40521400000000002</v>
      </c>
      <c r="P66" s="3" t="s">
        <v>215</v>
      </c>
    </row>
    <row r="67" spans="2:16" ht="13.05" customHeight="1" x14ac:dyDescent="0.3">
      <c r="B67" s="3" t="s">
        <v>173</v>
      </c>
      <c r="C67" s="3" t="s">
        <v>221</v>
      </c>
      <c r="D67" s="3"/>
      <c r="E67" s="29" t="s">
        <v>256</v>
      </c>
      <c r="F67" s="27" t="s">
        <v>12</v>
      </c>
      <c r="G67" s="6">
        <v>-7000.81</v>
      </c>
      <c r="H67" s="6">
        <v>-6695.58</v>
      </c>
      <c r="I67" s="6">
        <v>-305.23</v>
      </c>
      <c r="J67" s="7">
        <v>-4.5587000000000003E-2</v>
      </c>
      <c r="K67" s="4" t="s">
        <v>12</v>
      </c>
      <c r="L67" s="32">
        <v>-7000.81</v>
      </c>
      <c r="M67" s="6">
        <v>-6695.58</v>
      </c>
      <c r="N67" s="6">
        <v>-305.23</v>
      </c>
      <c r="O67" s="7">
        <v>-4.5587000000000003E-2</v>
      </c>
      <c r="P67" s="3" t="s">
        <v>215</v>
      </c>
    </row>
    <row r="68" spans="2:16" ht="13.05" customHeight="1" x14ac:dyDescent="0.3">
      <c r="B68" s="3" t="s">
        <v>173</v>
      </c>
      <c r="C68" s="3" t="s">
        <v>221</v>
      </c>
      <c r="D68" s="3"/>
      <c r="E68" s="29" t="s">
        <v>256</v>
      </c>
      <c r="F68" s="27" t="s">
        <v>217</v>
      </c>
      <c r="G68" s="6">
        <v>7248.64</v>
      </c>
      <c r="H68" s="6">
        <v>7248.64</v>
      </c>
      <c r="I68" s="6">
        <v>0</v>
      </c>
      <c r="J68" s="7">
        <v>0</v>
      </c>
      <c r="K68" s="4" t="s">
        <v>12</v>
      </c>
      <c r="L68" s="32">
        <v>7000.81</v>
      </c>
      <c r="M68" s="6">
        <v>6853.21</v>
      </c>
      <c r="N68" s="6">
        <v>147.6</v>
      </c>
      <c r="O68" s="7">
        <v>2.1537000000000001E-2</v>
      </c>
      <c r="P68" s="3" t="s">
        <v>215</v>
      </c>
    </row>
    <row r="69" spans="2:16" ht="13.05" customHeight="1" x14ac:dyDescent="0.3">
      <c r="B69" s="3" t="s">
        <v>175</v>
      </c>
      <c r="C69" s="3" t="s">
        <v>221</v>
      </c>
      <c r="D69" s="3"/>
      <c r="E69" s="29" t="s">
        <v>257</v>
      </c>
      <c r="F69" s="27" t="s">
        <v>12</v>
      </c>
      <c r="G69" s="6">
        <v>-2159.2600000000002</v>
      </c>
      <c r="H69" s="6">
        <v>-2083.89</v>
      </c>
      <c r="I69" s="6">
        <v>-75.37</v>
      </c>
      <c r="J69" s="7">
        <v>-3.6167999999999999E-2</v>
      </c>
      <c r="K69" s="4" t="s">
        <v>12</v>
      </c>
      <c r="L69" s="32">
        <v>-2159.2600000000002</v>
      </c>
      <c r="M69" s="6">
        <v>-2083.89</v>
      </c>
      <c r="N69" s="6">
        <v>-75.37</v>
      </c>
      <c r="O69" s="7">
        <v>-3.6167999999999999E-2</v>
      </c>
      <c r="P69" s="3" t="s">
        <v>215</v>
      </c>
    </row>
    <row r="70" spans="2:16" ht="13.05" customHeight="1" x14ac:dyDescent="0.3">
      <c r="B70" s="3" t="s">
        <v>175</v>
      </c>
      <c r="C70" s="3" t="s">
        <v>213</v>
      </c>
      <c r="D70" s="3"/>
      <c r="E70" s="29" t="s">
        <v>257</v>
      </c>
      <c r="F70" s="27" t="s">
        <v>12</v>
      </c>
      <c r="G70" s="6">
        <v>-14407.13</v>
      </c>
      <c r="H70" s="6">
        <v>-40603.93</v>
      </c>
      <c r="I70" s="6">
        <v>26196.799999999999</v>
      </c>
      <c r="J70" s="7">
        <v>0.64517899999999995</v>
      </c>
      <c r="K70" s="4" t="s">
        <v>12</v>
      </c>
      <c r="L70" s="32">
        <v>-14407.13</v>
      </c>
      <c r="M70" s="6">
        <v>-40603.93</v>
      </c>
      <c r="N70" s="6">
        <v>26196.799999999999</v>
      </c>
      <c r="O70" s="7">
        <v>0.64517899999999995</v>
      </c>
      <c r="P70" s="3" t="s">
        <v>215</v>
      </c>
    </row>
    <row r="71" spans="2:16" ht="13.05" customHeight="1" x14ac:dyDescent="0.3">
      <c r="B71" s="3" t="s">
        <v>177</v>
      </c>
      <c r="C71" s="3" t="s">
        <v>221</v>
      </c>
      <c r="D71" s="3"/>
      <c r="E71" s="29" t="s">
        <v>258</v>
      </c>
      <c r="F71" s="27" t="s">
        <v>12</v>
      </c>
      <c r="G71" s="6">
        <v>-2263.75</v>
      </c>
      <c r="H71" s="6">
        <v>-2184.7399999999998</v>
      </c>
      <c r="I71" s="6">
        <v>-79.010000000000005</v>
      </c>
      <c r="J71" s="7">
        <v>-3.6164000000000002E-2</v>
      </c>
      <c r="K71" s="4" t="s">
        <v>12</v>
      </c>
      <c r="L71" s="32">
        <v>-2263.75</v>
      </c>
      <c r="M71" s="6">
        <v>-2184.7399999999998</v>
      </c>
      <c r="N71" s="6">
        <v>-79.010000000000005</v>
      </c>
      <c r="O71" s="7">
        <v>-3.6164000000000002E-2</v>
      </c>
      <c r="P71" s="3" t="s">
        <v>215</v>
      </c>
    </row>
    <row r="72" spans="2:16" ht="13.05" customHeight="1" x14ac:dyDescent="0.3">
      <c r="B72" s="3" t="s">
        <v>177</v>
      </c>
      <c r="C72" s="3" t="s">
        <v>213</v>
      </c>
      <c r="D72" s="3"/>
      <c r="E72" s="29" t="s">
        <v>258</v>
      </c>
      <c r="F72" s="27" t="s">
        <v>12</v>
      </c>
      <c r="G72" s="6">
        <v>-26653.87</v>
      </c>
      <c r="H72" s="6">
        <v>-48859.23</v>
      </c>
      <c r="I72" s="6">
        <v>22205.360000000001</v>
      </c>
      <c r="J72" s="7">
        <v>0.45447599999999999</v>
      </c>
      <c r="K72" s="4" t="s">
        <v>12</v>
      </c>
      <c r="L72" s="32">
        <v>-26653.87</v>
      </c>
      <c r="M72" s="6">
        <v>-48859.23</v>
      </c>
      <c r="N72" s="6">
        <v>22205.360000000001</v>
      </c>
      <c r="O72" s="7">
        <v>0.45447599999999999</v>
      </c>
      <c r="P72" s="3" t="s">
        <v>215</v>
      </c>
    </row>
    <row r="73" spans="2:16" ht="13.05" customHeight="1" x14ac:dyDescent="0.3">
      <c r="B73" s="3" t="s">
        <v>179</v>
      </c>
      <c r="C73" s="3" t="s">
        <v>221</v>
      </c>
      <c r="D73" s="3"/>
      <c r="E73" s="29" t="s">
        <v>259</v>
      </c>
      <c r="F73" s="27" t="s">
        <v>12</v>
      </c>
      <c r="G73" s="6">
        <v>0.01</v>
      </c>
      <c r="H73" s="6">
        <v>0.01</v>
      </c>
      <c r="I73" s="6">
        <v>0</v>
      </c>
      <c r="J73" s="7">
        <v>0</v>
      </c>
      <c r="K73" s="4" t="s">
        <v>12</v>
      </c>
      <c r="L73" s="32">
        <v>0.01</v>
      </c>
      <c r="M73" s="6">
        <v>0.01</v>
      </c>
      <c r="N73" s="6">
        <v>0</v>
      </c>
      <c r="O73" s="7">
        <v>0</v>
      </c>
      <c r="P73" s="3" t="s">
        <v>215</v>
      </c>
    </row>
    <row r="74" spans="2:16" ht="13.05" customHeight="1" x14ac:dyDescent="0.3">
      <c r="B74" s="3" t="s">
        <v>180</v>
      </c>
      <c r="C74" s="3" t="s">
        <v>221</v>
      </c>
      <c r="D74" s="3"/>
      <c r="E74" s="29" t="s">
        <v>259</v>
      </c>
      <c r="F74" s="27" t="s">
        <v>12</v>
      </c>
      <c r="G74" s="6">
        <v>16566.39</v>
      </c>
      <c r="H74" s="6">
        <v>61825.02</v>
      </c>
      <c r="I74" s="6">
        <v>-45258.63</v>
      </c>
      <c r="J74" s="7">
        <v>-0.73204400000000003</v>
      </c>
      <c r="K74" s="4" t="s">
        <v>12</v>
      </c>
      <c r="L74" s="32">
        <v>16566.39</v>
      </c>
      <c r="M74" s="6">
        <v>61825.02</v>
      </c>
      <c r="N74" s="6">
        <v>-45258.63</v>
      </c>
      <c r="O74" s="7">
        <v>-0.73204400000000003</v>
      </c>
      <c r="P74" s="3" t="s">
        <v>215</v>
      </c>
    </row>
    <row r="75" spans="2:16" ht="13.05" customHeight="1" x14ac:dyDescent="0.3">
      <c r="B75" s="3" t="s">
        <v>182</v>
      </c>
      <c r="C75" s="3" t="s">
        <v>221</v>
      </c>
      <c r="D75" s="3"/>
      <c r="E75" s="29" t="s">
        <v>260</v>
      </c>
      <c r="F75" s="27" t="s">
        <v>12</v>
      </c>
      <c r="G75" s="6">
        <v>28917.62</v>
      </c>
      <c r="H75" s="6">
        <v>67177.72</v>
      </c>
      <c r="I75" s="6">
        <v>-38260.1</v>
      </c>
      <c r="J75" s="7">
        <v>-0.56953600000000004</v>
      </c>
      <c r="K75" s="4" t="s">
        <v>12</v>
      </c>
      <c r="L75" s="32">
        <v>28917.62</v>
      </c>
      <c r="M75" s="6">
        <v>67177.72</v>
      </c>
      <c r="N75" s="6">
        <v>-38260.1</v>
      </c>
      <c r="O75" s="7">
        <v>-0.56953600000000004</v>
      </c>
      <c r="P75" s="3" t="s">
        <v>215</v>
      </c>
    </row>
    <row r="76" spans="2:16" ht="13.05" customHeight="1" x14ac:dyDescent="0.3">
      <c r="B76" s="3" t="s">
        <v>184</v>
      </c>
      <c r="C76" s="3" t="s">
        <v>221</v>
      </c>
      <c r="D76" s="3"/>
      <c r="E76" s="29" t="s">
        <v>261</v>
      </c>
      <c r="F76" s="27" t="s">
        <v>12</v>
      </c>
      <c r="G76" s="6">
        <v>-372.94</v>
      </c>
      <c r="H76" s="6">
        <v>-359.93</v>
      </c>
      <c r="I76" s="6">
        <v>-13.01</v>
      </c>
      <c r="J76" s="7">
        <v>-3.6145999999999998E-2</v>
      </c>
      <c r="K76" s="4" t="s">
        <v>12</v>
      </c>
      <c r="L76" s="32">
        <v>-372.94</v>
      </c>
      <c r="M76" s="6">
        <v>-359.93</v>
      </c>
      <c r="N76" s="6">
        <v>-13.01</v>
      </c>
      <c r="O76" s="7">
        <v>-3.6145999999999998E-2</v>
      </c>
      <c r="P76" s="3" t="s">
        <v>215</v>
      </c>
    </row>
    <row r="77" spans="2:16" ht="13.05" customHeight="1" x14ac:dyDescent="0.3">
      <c r="B77" s="3" t="s">
        <v>184</v>
      </c>
      <c r="C77" s="3" t="s">
        <v>213</v>
      </c>
      <c r="D77" s="3"/>
      <c r="E77" s="29" t="s">
        <v>261</v>
      </c>
      <c r="F77" s="27" t="s">
        <v>12</v>
      </c>
      <c r="G77" s="6">
        <v>-4391.09</v>
      </c>
      <c r="H77" s="6">
        <v>-7303.41</v>
      </c>
      <c r="I77" s="6">
        <v>2912.32</v>
      </c>
      <c r="J77" s="7">
        <v>0.39876200000000001</v>
      </c>
      <c r="K77" s="4" t="s">
        <v>12</v>
      </c>
      <c r="L77" s="32">
        <v>-4391.09</v>
      </c>
      <c r="M77" s="6">
        <v>-7303.41</v>
      </c>
      <c r="N77" s="6">
        <v>2912.32</v>
      </c>
      <c r="O77" s="7">
        <v>0.39876200000000001</v>
      </c>
      <c r="P77" s="3" t="s">
        <v>215</v>
      </c>
    </row>
    <row r="78" spans="2:16" ht="13.05" customHeight="1" x14ac:dyDescent="0.3">
      <c r="B78" s="3" t="s">
        <v>186</v>
      </c>
      <c r="C78" s="3" t="s">
        <v>221</v>
      </c>
      <c r="D78" s="3"/>
      <c r="E78" s="29" t="s">
        <v>262</v>
      </c>
      <c r="F78" s="27" t="s">
        <v>12</v>
      </c>
      <c r="G78" s="6">
        <v>-218.27</v>
      </c>
      <c r="H78" s="6">
        <v>-210.66</v>
      </c>
      <c r="I78" s="6">
        <v>-7.61</v>
      </c>
      <c r="J78" s="7">
        <v>-3.6124999999999997E-2</v>
      </c>
      <c r="K78" s="4" t="s">
        <v>12</v>
      </c>
      <c r="L78" s="32">
        <v>-218.27</v>
      </c>
      <c r="M78" s="6">
        <v>-210.66</v>
      </c>
      <c r="N78" s="6">
        <v>-7.61</v>
      </c>
      <c r="O78" s="7">
        <v>-3.6124999999999997E-2</v>
      </c>
      <c r="P78" s="3" t="s">
        <v>215</v>
      </c>
    </row>
    <row r="79" spans="2:16" ht="13.05" customHeight="1" x14ac:dyDescent="0.3">
      <c r="B79" s="3" t="s">
        <v>186</v>
      </c>
      <c r="C79" s="3" t="s">
        <v>213</v>
      </c>
      <c r="D79" s="3"/>
      <c r="E79" s="29" t="s">
        <v>262</v>
      </c>
      <c r="F79" s="27" t="s">
        <v>12</v>
      </c>
      <c r="G79" s="6">
        <v>-2570.0300000000002</v>
      </c>
      <c r="H79" s="6">
        <v>-4711.0600000000004</v>
      </c>
      <c r="I79" s="6">
        <v>2141.0300000000002</v>
      </c>
      <c r="J79" s="7">
        <v>0.45446900000000001</v>
      </c>
      <c r="K79" s="4" t="s">
        <v>12</v>
      </c>
      <c r="L79" s="32">
        <v>-2570.0300000000002</v>
      </c>
      <c r="M79" s="6">
        <v>-4711.0600000000004</v>
      </c>
      <c r="N79" s="6">
        <v>2141.0300000000002</v>
      </c>
      <c r="O79" s="7">
        <v>0.45446900000000001</v>
      </c>
      <c r="P79" s="3" t="s">
        <v>215</v>
      </c>
    </row>
    <row r="80" spans="2:16" ht="13.05" customHeight="1" x14ac:dyDescent="0.3">
      <c r="B80" s="3" t="s">
        <v>188</v>
      </c>
      <c r="C80" s="3" t="s">
        <v>213</v>
      </c>
      <c r="D80" s="3"/>
      <c r="E80" s="29" t="s">
        <v>263</v>
      </c>
      <c r="F80" s="27" t="s">
        <v>12</v>
      </c>
      <c r="G80" s="6">
        <v>-2618.86</v>
      </c>
      <c r="H80" s="6">
        <v>-6736.65</v>
      </c>
      <c r="I80" s="6">
        <v>4117.79</v>
      </c>
      <c r="J80" s="7">
        <v>0.61125200000000002</v>
      </c>
      <c r="K80" s="4" t="s">
        <v>12</v>
      </c>
      <c r="L80" s="32">
        <v>-2618.86</v>
      </c>
      <c r="M80" s="6">
        <v>-6736.65</v>
      </c>
      <c r="N80" s="6">
        <v>4117.79</v>
      </c>
      <c r="O80" s="7">
        <v>0.61125200000000002</v>
      </c>
      <c r="P80" s="3" t="s">
        <v>215</v>
      </c>
    </row>
    <row r="81" spans="2:16" ht="13.05" customHeight="1" x14ac:dyDescent="0.3">
      <c r="B81" s="3" t="s">
        <v>190</v>
      </c>
      <c r="C81" s="3" t="s">
        <v>221</v>
      </c>
      <c r="D81" s="3"/>
      <c r="E81" s="29" t="s">
        <v>264</v>
      </c>
      <c r="F81" s="27" t="s">
        <v>12</v>
      </c>
      <c r="G81" s="6">
        <v>-5252.03</v>
      </c>
      <c r="H81" s="6">
        <v>-1134.24</v>
      </c>
      <c r="I81" s="6">
        <v>-4117.79</v>
      </c>
      <c r="J81" s="7">
        <v>-3.6304400000000001</v>
      </c>
      <c r="K81" s="4" t="s">
        <v>12</v>
      </c>
      <c r="L81" s="32">
        <v>-5252.03</v>
      </c>
      <c r="M81" s="6">
        <v>-1134.24</v>
      </c>
      <c r="N81" s="6">
        <v>-4117.79</v>
      </c>
      <c r="O81" s="7">
        <v>-3.6304400000000001</v>
      </c>
      <c r="P81" s="3" t="s">
        <v>215</v>
      </c>
    </row>
    <row r="82" spans="2:16" ht="13.05" customHeight="1" x14ac:dyDescent="0.3">
      <c r="B82" s="3" t="s">
        <v>192</v>
      </c>
      <c r="C82" s="3" t="s">
        <v>221</v>
      </c>
      <c r="D82" s="3"/>
      <c r="E82" s="29" t="s">
        <v>265</v>
      </c>
      <c r="F82" s="27" t="s">
        <v>12</v>
      </c>
      <c r="G82" s="6">
        <v>-382.19</v>
      </c>
      <c r="H82" s="6">
        <v>-382.19</v>
      </c>
      <c r="I82" s="6">
        <v>0</v>
      </c>
      <c r="J82" s="7">
        <v>0</v>
      </c>
      <c r="K82" s="4" t="s">
        <v>12</v>
      </c>
      <c r="L82" s="32">
        <v>-382.19</v>
      </c>
      <c r="M82" s="6">
        <v>-382.19</v>
      </c>
      <c r="N82" s="6">
        <v>0</v>
      </c>
      <c r="O82" s="7">
        <v>0</v>
      </c>
      <c r="P82" s="3" t="s">
        <v>215</v>
      </c>
    </row>
    <row r="83" spans="2:16" ht="13.05" customHeight="1" x14ac:dyDescent="0.3">
      <c r="B83" s="3" t="s">
        <v>194</v>
      </c>
      <c r="C83" s="3" t="s">
        <v>221</v>
      </c>
      <c r="D83" s="3"/>
      <c r="E83" s="29" t="s">
        <v>266</v>
      </c>
      <c r="F83" s="27" t="s">
        <v>12</v>
      </c>
      <c r="G83" s="6">
        <v>-78.349999999999994</v>
      </c>
      <c r="H83" s="6">
        <v>-75.61</v>
      </c>
      <c r="I83" s="6">
        <v>-2.74</v>
      </c>
      <c r="J83" s="7">
        <v>-3.6239E-2</v>
      </c>
      <c r="K83" s="4" t="s">
        <v>12</v>
      </c>
      <c r="L83" s="32">
        <v>-78.349999999999994</v>
      </c>
      <c r="M83" s="6">
        <v>-75.61</v>
      </c>
      <c r="N83" s="6">
        <v>-2.74</v>
      </c>
      <c r="O83" s="7">
        <v>-3.6239E-2</v>
      </c>
      <c r="P83" s="3" t="s">
        <v>215</v>
      </c>
    </row>
    <row r="84" spans="2:16" ht="13.05" customHeight="1" x14ac:dyDescent="0.3">
      <c r="B84" s="3" t="s">
        <v>194</v>
      </c>
      <c r="C84" s="3" t="s">
        <v>213</v>
      </c>
      <c r="D84" s="3"/>
      <c r="E84" s="29" t="s">
        <v>266</v>
      </c>
      <c r="F84" s="27" t="s">
        <v>12</v>
      </c>
      <c r="G84" s="6">
        <v>-612.48</v>
      </c>
      <c r="H84" s="6">
        <v>-1381.02</v>
      </c>
      <c r="I84" s="6">
        <v>768.54</v>
      </c>
      <c r="J84" s="7">
        <v>0.55650200000000005</v>
      </c>
      <c r="K84" s="4" t="s">
        <v>12</v>
      </c>
      <c r="L84" s="32">
        <v>-612.48</v>
      </c>
      <c r="M84" s="6">
        <v>-1381.02</v>
      </c>
      <c r="N84" s="6">
        <v>768.54</v>
      </c>
      <c r="O84" s="7">
        <v>0.55650200000000005</v>
      </c>
      <c r="P84" s="3" t="s">
        <v>215</v>
      </c>
    </row>
    <row r="85" spans="2:16" ht="13.05" customHeight="1" x14ac:dyDescent="0.3">
      <c r="B85" s="3" t="s">
        <v>196</v>
      </c>
      <c r="C85" s="3" t="s">
        <v>221</v>
      </c>
      <c r="D85" s="3"/>
      <c r="E85" s="29" t="s">
        <v>267</v>
      </c>
      <c r="F85" s="27" t="s">
        <v>12</v>
      </c>
      <c r="G85" s="6">
        <v>690.83</v>
      </c>
      <c r="H85" s="6">
        <v>2457.4699999999998</v>
      </c>
      <c r="I85" s="6">
        <v>-1766.64</v>
      </c>
      <c r="J85" s="7">
        <v>-0.71888600000000002</v>
      </c>
      <c r="K85" s="4" t="s">
        <v>12</v>
      </c>
      <c r="L85" s="32">
        <v>690.83</v>
      </c>
      <c r="M85" s="6">
        <v>2457.4699999999998</v>
      </c>
      <c r="N85" s="6">
        <v>-1766.64</v>
      </c>
      <c r="O85" s="7">
        <v>-0.71888600000000002</v>
      </c>
      <c r="P85" s="3" t="s">
        <v>215</v>
      </c>
    </row>
    <row r="86" spans="2:16" ht="13.05" customHeight="1" x14ac:dyDescent="0.3">
      <c r="B86" s="3" t="s">
        <v>198</v>
      </c>
      <c r="C86" s="3" t="s">
        <v>221</v>
      </c>
      <c r="D86" s="3"/>
      <c r="E86" s="29" t="s">
        <v>268</v>
      </c>
      <c r="F86" s="27" t="s">
        <v>12</v>
      </c>
      <c r="G86" s="6">
        <v>-87.91</v>
      </c>
      <c r="H86" s="6">
        <v>-84.84</v>
      </c>
      <c r="I86" s="6">
        <v>-3.07</v>
      </c>
      <c r="J86" s="7">
        <v>-3.6186000000000003E-2</v>
      </c>
      <c r="K86" s="4" t="s">
        <v>12</v>
      </c>
      <c r="L86" s="32">
        <v>-87.91</v>
      </c>
      <c r="M86" s="6">
        <v>-84.84</v>
      </c>
      <c r="N86" s="6">
        <v>-3.07</v>
      </c>
      <c r="O86" s="7">
        <v>-3.6186000000000003E-2</v>
      </c>
      <c r="P86" s="3" t="s">
        <v>215</v>
      </c>
    </row>
    <row r="87" spans="2:16" ht="13.05" customHeight="1" x14ac:dyDescent="0.3">
      <c r="B87" s="3" t="s">
        <v>198</v>
      </c>
      <c r="C87" s="3" t="s">
        <v>213</v>
      </c>
      <c r="D87" s="3"/>
      <c r="E87" s="29" t="s">
        <v>268</v>
      </c>
      <c r="F87" s="27" t="s">
        <v>12</v>
      </c>
      <c r="G87" s="6">
        <v>-1035.06</v>
      </c>
      <c r="H87" s="6">
        <v>-1897.36</v>
      </c>
      <c r="I87" s="6">
        <v>862.3</v>
      </c>
      <c r="J87" s="7">
        <v>0.45447399999999999</v>
      </c>
      <c r="K87" s="4" t="s">
        <v>12</v>
      </c>
      <c r="L87" s="32">
        <v>-1035.06</v>
      </c>
      <c r="M87" s="6">
        <v>-1897.36</v>
      </c>
      <c r="N87" s="6">
        <v>862.3</v>
      </c>
      <c r="O87" s="7">
        <v>0.45447399999999999</v>
      </c>
      <c r="P87" s="3" t="s">
        <v>215</v>
      </c>
    </row>
    <row r="88" spans="2:16" x14ac:dyDescent="0.3">
      <c r="B88" s="3" t="s">
        <v>200</v>
      </c>
      <c r="C88" s="3" t="s">
        <v>221</v>
      </c>
      <c r="D88" s="3"/>
      <c r="E88" s="29" t="s">
        <v>269</v>
      </c>
      <c r="F88" s="27" t="s">
        <v>12</v>
      </c>
      <c r="G88" s="6">
        <v>-1107.25</v>
      </c>
      <c r="H88" s="6">
        <v>-160.11000000000001</v>
      </c>
      <c r="I88" s="6">
        <v>-947.14</v>
      </c>
      <c r="J88" s="7">
        <v>-5.9155579999999999</v>
      </c>
      <c r="K88" s="4" t="s">
        <v>12</v>
      </c>
      <c r="L88" s="32">
        <v>-1107.25</v>
      </c>
      <c r="M88" s="6">
        <v>-160.11000000000001</v>
      </c>
      <c r="N88" s="6">
        <v>-947.14</v>
      </c>
      <c r="O88" s="7">
        <v>-5.9155579999999999</v>
      </c>
      <c r="P88" s="3" t="s">
        <v>215</v>
      </c>
    </row>
    <row r="89" spans="2:16" x14ac:dyDescent="0.3">
      <c r="B89" s="3"/>
      <c r="C89" s="3"/>
      <c r="D89" s="3"/>
      <c r="E89" s="3"/>
      <c r="F89" s="4"/>
      <c r="G89" s="6"/>
      <c r="H89" s="6"/>
      <c r="I89" s="6"/>
      <c r="J89" s="7"/>
      <c r="K89" s="4"/>
      <c r="L89" s="6"/>
      <c r="M89" s="6"/>
      <c r="N89" s="6"/>
      <c r="O89" s="7"/>
      <c r="P89" s="3"/>
    </row>
    <row r="90" spans="2:16" x14ac:dyDescent="0.3">
      <c r="B90" s="10" t="s">
        <v>59</v>
      </c>
      <c r="C90" s="3"/>
      <c r="D90" s="3"/>
      <c r="E90" s="3"/>
      <c r="F90" s="4"/>
      <c r="G90" s="6"/>
      <c r="H90" s="6"/>
      <c r="I90" s="6"/>
      <c r="J90" s="7"/>
      <c r="K90" s="4"/>
      <c r="L90" s="11">
        <v>-246282.71</v>
      </c>
      <c r="M90" s="11">
        <v>-12183660.060000001</v>
      </c>
      <c r="N90" s="11">
        <v>11937377.35</v>
      </c>
      <c r="O90" s="7"/>
      <c r="P9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G26" sqref="G26"/>
    </sheetView>
  </sheetViews>
  <sheetFormatPr defaultRowHeight="14.4" x14ac:dyDescent="0.3"/>
  <cols>
    <col min="1" max="4" width="14" customWidth="1"/>
    <col min="5" max="5" width="17.21875" customWidth="1"/>
    <col min="6" max="13" width="14" customWidth="1"/>
  </cols>
  <sheetData>
    <row r="1" spans="1:12" x14ac:dyDescent="0.3">
      <c r="A1" s="1"/>
      <c r="B1" s="1" t="s">
        <v>418</v>
      </c>
      <c r="C1" s="1" t="s">
        <v>419</v>
      </c>
      <c r="D1" s="1" t="s">
        <v>420</v>
      </c>
      <c r="E1" s="1" t="s">
        <v>50</v>
      </c>
    </row>
    <row r="2" spans="1:12" ht="13.05" customHeight="1" x14ac:dyDescent="0.3">
      <c r="A2" s="3" t="s">
        <v>421</v>
      </c>
      <c r="B2" s="3" t="s">
        <v>13</v>
      </c>
      <c r="C2" s="6">
        <v>72015275.439999998</v>
      </c>
      <c r="D2" s="6"/>
      <c r="E2" s="7"/>
    </row>
    <row r="3" spans="1:12" ht="13.05" customHeight="1" x14ac:dyDescent="0.3">
      <c r="A3" s="3" t="s">
        <v>422</v>
      </c>
      <c r="B3" s="3" t="s">
        <v>14</v>
      </c>
      <c r="C3" s="6">
        <v>72682602.909999996</v>
      </c>
      <c r="D3" s="6">
        <v>-667327.47</v>
      </c>
      <c r="E3" s="7">
        <v>-9.1809999999999999E-3</v>
      </c>
    </row>
    <row r="5" spans="1:12" ht="13.05" customHeight="1" x14ac:dyDescent="0.3">
      <c r="A5" s="14" t="s">
        <v>423</v>
      </c>
      <c r="B5" s="14"/>
      <c r="C5" s="14" t="s">
        <v>424</v>
      </c>
      <c r="D5" s="14" t="s">
        <v>425</v>
      </c>
      <c r="E5" s="14" t="s">
        <v>426</v>
      </c>
      <c r="F5" s="14" t="s">
        <v>427</v>
      </c>
      <c r="G5" s="14" t="s">
        <v>428</v>
      </c>
      <c r="H5" s="14" t="s">
        <v>429</v>
      </c>
      <c r="I5" s="16" t="s">
        <v>430</v>
      </c>
      <c r="J5" s="14" t="s">
        <v>431</v>
      </c>
      <c r="K5" s="16" t="s">
        <v>432</v>
      </c>
      <c r="L5" s="16" t="s">
        <v>433</v>
      </c>
    </row>
    <row r="6" spans="1:12" ht="13.05" customHeight="1" x14ac:dyDescent="0.3">
      <c r="A6" s="3" t="s">
        <v>60</v>
      </c>
      <c r="B6" s="3"/>
      <c r="C6" s="6">
        <v>-39041.71</v>
      </c>
      <c r="D6" s="7">
        <v>-5.3700000000000004E-4</v>
      </c>
      <c r="E6" s="6">
        <v>0</v>
      </c>
      <c r="F6" s="7">
        <v>0</v>
      </c>
      <c r="G6" s="6">
        <v>53103.43</v>
      </c>
      <c r="H6" s="7">
        <v>7.3099999999999999E-4</v>
      </c>
      <c r="I6" s="7">
        <v>1.93E-4</v>
      </c>
      <c r="J6" s="6">
        <v>500</v>
      </c>
      <c r="K6" s="6">
        <v>6.9999999999999999E-6</v>
      </c>
      <c r="L6" s="7">
        <v>2.0000000000000001E-4</v>
      </c>
    </row>
    <row r="7" spans="1:12" ht="13.05" customHeight="1" x14ac:dyDescent="0.3">
      <c r="A7" s="3" t="s">
        <v>53</v>
      </c>
      <c r="B7" s="3"/>
      <c r="C7" s="6">
        <v>0</v>
      </c>
      <c r="D7" s="7">
        <v>0</v>
      </c>
      <c r="E7" s="6">
        <v>0</v>
      </c>
      <c r="F7" s="7">
        <v>0</v>
      </c>
      <c r="G7" s="6">
        <v>0</v>
      </c>
      <c r="H7" s="7">
        <v>0</v>
      </c>
      <c r="I7" s="7">
        <v>0</v>
      </c>
      <c r="J7" s="6">
        <v>0</v>
      </c>
      <c r="K7" s="6">
        <v>0</v>
      </c>
      <c r="L7" s="7">
        <v>0</v>
      </c>
    </row>
    <row r="8" spans="1:12" ht="13.05" customHeight="1" x14ac:dyDescent="0.3">
      <c r="A8" s="3" t="s">
        <v>82</v>
      </c>
      <c r="B8" s="3"/>
      <c r="C8" s="6">
        <v>118065.16</v>
      </c>
      <c r="D8" s="7">
        <v>1.624E-3</v>
      </c>
      <c r="E8" s="6">
        <v>1654.78</v>
      </c>
      <c r="F8" s="7">
        <v>2.3E-5</v>
      </c>
      <c r="G8" s="6">
        <v>626.16999999999996</v>
      </c>
      <c r="H8" s="7">
        <v>9.0000000000000002E-6</v>
      </c>
      <c r="I8" s="7">
        <v>1.6559999999999999E-3</v>
      </c>
      <c r="J8" s="6">
        <v>0</v>
      </c>
      <c r="K8" s="6">
        <v>0</v>
      </c>
      <c r="L8" s="7">
        <v>1.6559999999999999E-3</v>
      </c>
    </row>
    <row r="9" spans="1:12" ht="13.05" customHeight="1" x14ac:dyDescent="0.3">
      <c r="A9" s="3" t="s">
        <v>68</v>
      </c>
      <c r="B9" s="3"/>
      <c r="C9" s="6">
        <v>-204411.79</v>
      </c>
      <c r="D9" s="7">
        <v>-2.8119999999999998E-3</v>
      </c>
      <c r="E9" s="6">
        <v>0</v>
      </c>
      <c r="F9" s="7">
        <v>0</v>
      </c>
      <c r="G9" s="6">
        <v>0</v>
      </c>
      <c r="H9" s="7">
        <v>0</v>
      </c>
      <c r="I9" s="7">
        <v>-2.8119999999999998E-3</v>
      </c>
      <c r="J9" s="6">
        <v>0</v>
      </c>
      <c r="K9" s="6">
        <v>0</v>
      </c>
      <c r="L9" s="7">
        <v>-2.8119999999999998E-3</v>
      </c>
    </row>
    <row r="10" spans="1:12" ht="13.05" customHeight="1" x14ac:dyDescent="0.3">
      <c r="A10" s="3" t="s">
        <v>434</v>
      </c>
      <c r="B10" s="3" t="s">
        <v>435</v>
      </c>
      <c r="C10" s="6">
        <v>-604710.63</v>
      </c>
      <c r="D10" s="7">
        <v>-8.3199999999999993E-3</v>
      </c>
      <c r="E10" s="6">
        <v>0</v>
      </c>
      <c r="F10" s="7">
        <v>0</v>
      </c>
      <c r="G10" s="6">
        <v>0</v>
      </c>
      <c r="H10" s="7">
        <v>0</v>
      </c>
      <c r="I10" s="7">
        <v>-8.3199999999999993E-3</v>
      </c>
      <c r="J10" s="6">
        <v>644.64</v>
      </c>
      <c r="K10" s="6">
        <v>9.0000000000000002E-6</v>
      </c>
      <c r="L10" s="7">
        <v>-8.3110000000000007E-3</v>
      </c>
    </row>
    <row r="11" spans="1:12" ht="13.05" customHeight="1" x14ac:dyDescent="0.3">
      <c r="A11" s="10" t="s">
        <v>436</v>
      </c>
      <c r="B11" s="3"/>
      <c r="C11" s="11">
        <v>-730098.97</v>
      </c>
      <c r="D11" s="12">
        <v>-1.0045E-2</v>
      </c>
      <c r="E11" s="11">
        <v>1654.78</v>
      </c>
      <c r="F11" s="12">
        <v>2.3E-5</v>
      </c>
      <c r="G11" s="11">
        <v>53729.599999999999</v>
      </c>
      <c r="H11" s="12">
        <v>7.3899999999999997E-4</v>
      </c>
      <c r="I11" s="12">
        <v>-9.2829999999999996E-3</v>
      </c>
      <c r="J11" s="11">
        <v>1144.6400000000001</v>
      </c>
      <c r="K11" s="11">
        <v>1.5999999999999999E-5</v>
      </c>
      <c r="L11" s="12">
        <v>-9.2669999999999992E-3</v>
      </c>
    </row>
    <row r="12" spans="1:12" ht="13.05" customHeight="1" x14ac:dyDescent="0.3">
      <c r="A12" s="3"/>
      <c r="B12" s="3"/>
      <c r="C12" s="6"/>
      <c r="D12" s="7"/>
      <c r="E12" s="6"/>
      <c r="F12" s="7"/>
      <c r="G12" s="6"/>
      <c r="H12" s="7"/>
      <c r="I12" s="7"/>
      <c r="J12" s="6"/>
      <c r="K12" s="6"/>
      <c r="L12" s="7"/>
    </row>
    <row r="13" spans="1:12" ht="13.05" customHeight="1" x14ac:dyDescent="0.3">
      <c r="A13" s="3" t="s">
        <v>437</v>
      </c>
      <c r="B13" s="3"/>
      <c r="C13" s="6">
        <v>-138209.82999999999</v>
      </c>
      <c r="D13" s="7"/>
      <c r="E13" s="6"/>
      <c r="F13" s="7"/>
      <c r="G13" s="6"/>
      <c r="H13" s="7"/>
      <c r="I13" s="7"/>
      <c r="J13" s="6"/>
      <c r="K13" s="6"/>
      <c r="L13" s="7">
        <v>-1.902E-3</v>
      </c>
    </row>
    <row r="14" spans="1:12" ht="13.05" customHeight="1" x14ac:dyDescent="0.3">
      <c r="A14" s="3" t="s">
        <v>438</v>
      </c>
      <c r="B14" s="3"/>
      <c r="C14" s="6">
        <v>110000</v>
      </c>
      <c r="D14" s="7"/>
      <c r="E14" s="6"/>
      <c r="F14" s="7"/>
      <c r="G14" s="6"/>
      <c r="H14" s="7"/>
      <c r="I14" s="7"/>
      <c r="J14" s="6"/>
      <c r="K14" s="6"/>
      <c r="L14" s="7">
        <v>1.513E-3</v>
      </c>
    </row>
    <row r="15" spans="1:12" ht="13.05" customHeight="1" x14ac:dyDescent="0.3">
      <c r="A15" s="10" t="s">
        <v>439</v>
      </c>
      <c r="B15" s="3"/>
      <c r="C15" s="11">
        <v>-28209.83</v>
      </c>
      <c r="D15" s="7"/>
      <c r="E15" s="6"/>
      <c r="F15" s="7"/>
      <c r="G15" s="6"/>
      <c r="H15" s="7"/>
      <c r="I15" s="7"/>
      <c r="J15" s="6"/>
      <c r="K15" s="6"/>
      <c r="L15" s="12">
        <v>-3.88E-4</v>
      </c>
    </row>
    <row r="16" spans="1:12" ht="13.05" customHeight="1" x14ac:dyDescent="0.3">
      <c r="A16" s="3"/>
      <c r="B16" s="3"/>
      <c r="C16" s="6"/>
      <c r="D16" s="7"/>
      <c r="E16" s="6"/>
      <c r="F16" s="7"/>
      <c r="G16" s="6"/>
      <c r="H16" s="7"/>
      <c r="I16" s="7"/>
      <c r="J16" s="6"/>
      <c r="K16" s="6"/>
      <c r="L16" s="7"/>
    </row>
    <row r="17" spans="1:12" ht="13.05" customHeight="1" x14ac:dyDescent="0.3">
      <c r="A17" s="3" t="s">
        <v>440</v>
      </c>
      <c r="B17" s="3"/>
      <c r="C17" s="6">
        <v>-35.64</v>
      </c>
      <c r="D17" s="7"/>
      <c r="E17" s="6"/>
      <c r="F17" s="7"/>
      <c r="G17" s="6"/>
      <c r="H17" s="7"/>
      <c r="I17" s="7"/>
      <c r="J17" s="6"/>
      <c r="K17" s="6"/>
      <c r="L17" s="7">
        <v>0</v>
      </c>
    </row>
    <row r="18" spans="1:12" ht="13.05" customHeight="1" x14ac:dyDescent="0.3">
      <c r="A18" s="10" t="s">
        <v>441</v>
      </c>
      <c r="B18" s="3"/>
      <c r="C18" s="11">
        <v>-35.64</v>
      </c>
      <c r="D18" s="7"/>
      <c r="E18" s="6"/>
      <c r="F18" s="7"/>
      <c r="G18" s="6"/>
      <c r="H18" s="7"/>
      <c r="I18" s="7"/>
      <c r="J18" s="6"/>
      <c r="K18" s="6"/>
      <c r="L18" s="12">
        <v>0</v>
      </c>
    </row>
    <row r="19" spans="1:12" ht="13.05" customHeight="1" x14ac:dyDescent="0.3">
      <c r="A19" s="3"/>
      <c r="B19" s="3"/>
      <c r="C19" s="6"/>
      <c r="D19" s="7"/>
      <c r="E19" s="6"/>
      <c r="F19" s="7"/>
      <c r="G19" s="6"/>
      <c r="H19" s="7"/>
      <c r="I19" s="7"/>
      <c r="J19" s="6"/>
      <c r="K19" s="6"/>
      <c r="L19" s="7"/>
    </row>
    <row r="20" spans="1:12" ht="13.05" customHeight="1" x14ac:dyDescent="0.3">
      <c r="A20" s="3" t="s">
        <v>106</v>
      </c>
      <c r="B20" s="3"/>
      <c r="C20" s="6">
        <v>-23173.3</v>
      </c>
      <c r="D20" s="7"/>
      <c r="E20" s="6"/>
      <c r="F20" s="7"/>
      <c r="G20" s="6"/>
      <c r="H20" s="7"/>
      <c r="I20" s="7"/>
      <c r="J20" s="6"/>
      <c r="K20" s="6"/>
      <c r="L20" s="7">
        <v>-3.19E-4</v>
      </c>
    </row>
    <row r="21" spans="1:12" ht="13.05" customHeight="1" x14ac:dyDescent="0.3">
      <c r="A21" s="3" t="s">
        <v>308</v>
      </c>
      <c r="B21" s="3"/>
      <c r="C21" s="6">
        <v>-288.64</v>
      </c>
      <c r="D21" s="7"/>
      <c r="E21" s="6"/>
      <c r="F21" s="7"/>
      <c r="G21" s="6"/>
      <c r="H21" s="7"/>
      <c r="I21" s="7"/>
      <c r="J21" s="6"/>
      <c r="K21" s="6"/>
      <c r="L21" s="7">
        <v>-3.9999999999999998E-6</v>
      </c>
    </row>
    <row r="22" spans="1:12" ht="13.05" customHeight="1" x14ac:dyDescent="0.3">
      <c r="A22" s="3" t="s">
        <v>300</v>
      </c>
      <c r="B22" s="3"/>
      <c r="C22" s="6">
        <v>27292.25</v>
      </c>
      <c r="D22" s="7"/>
      <c r="E22" s="6"/>
      <c r="F22" s="7"/>
      <c r="G22" s="6"/>
      <c r="H22" s="7"/>
      <c r="I22" s="7"/>
      <c r="J22" s="6"/>
      <c r="K22" s="6"/>
      <c r="L22" s="7">
        <v>3.7500000000000001E-4</v>
      </c>
    </row>
    <row r="23" spans="1:12" ht="13.05" customHeight="1" x14ac:dyDescent="0.3">
      <c r="A23" s="3" t="s">
        <v>292</v>
      </c>
      <c r="B23" s="3"/>
      <c r="C23" s="6">
        <v>85941.52</v>
      </c>
      <c r="D23" s="7"/>
      <c r="E23" s="6"/>
      <c r="F23" s="7"/>
      <c r="G23" s="6"/>
      <c r="H23" s="7"/>
      <c r="I23" s="7"/>
      <c r="J23" s="6"/>
      <c r="K23" s="6"/>
      <c r="L23" s="7">
        <v>1.1820000000000001E-3</v>
      </c>
    </row>
    <row r="24" spans="1:12" ht="13.05" customHeight="1" x14ac:dyDescent="0.3">
      <c r="A24" s="10" t="s">
        <v>442</v>
      </c>
      <c r="B24" s="3"/>
      <c r="C24" s="11">
        <v>89771.83</v>
      </c>
      <c r="D24" s="7"/>
      <c r="E24" s="6"/>
      <c r="F24" s="7"/>
      <c r="G24" s="6"/>
      <c r="H24" s="7"/>
      <c r="I24" s="7"/>
      <c r="J24" s="6"/>
      <c r="K24" s="6"/>
      <c r="L24" s="12">
        <v>1.2340000000000001E-3</v>
      </c>
    </row>
    <row r="25" spans="1:12" ht="13.05" customHeight="1" x14ac:dyDescent="0.3">
      <c r="A25" s="3"/>
      <c r="B25" s="3"/>
      <c r="C25" s="6"/>
      <c r="D25" s="7"/>
      <c r="E25" s="6"/>
      <c r="F25" s="7"/>
      <c r="G25" s="6"/>
      <c r="H25" s="7"/>
      <c r="I25" s="7"/>
      <c r="J25" s="6"/>
      <c r="K25" s="6"/>
      <c r="L25" s="7"/>
    </row>
    <row r="26" spans="1:12" ht="13.05" customHeight="1" x14ac:dyDescent="0.3">
      <c r="A26" s="3" t="s">
        <v>106</v>
      </c>
      <c r="B26" s="3"/>
      <c r="C26" s="6">
        <v>-55093.99</v>
      </c>
      <c r="D26" s="7"/>
      <c r="E26" s="6"/>
      <c r="F26" s="7"/>
      <c r="G26" s="6"/>
      <c r="H26" s="7"/>
      <c r="I26" s="7"/>
      <c r="J26" s="6"/>
      <c r="K26" s="6"/>
      <c r="L26" s="7">
        <v>-7.5799999999999999E-4</v>
      </c>
    </row>
    <row r="27" spans="1:12" ht="13.05" customHeight="1" x14ac:dyDescent="0.3">
      <c r="A27" s="3" t="s">
        <v>381</v>
      </c>
      <c r="B27" s="3"/>
      <c r="C27" s="6">
        <v>-189.89</v>
      </c>
      <c r="D27" s="7"/>
      <c r="E27" s="6"/>
      <c r="F27" s="7"/>
      <c r="G27" s="6"/>
      <c r="H27" s="7"/>
      <c r="I27" s="7"/>
      <c r="J27" s="6"/>
      <c r="K27" s="6"/>
      <c r="L27" s="7">
        <v>-3.0000000000000001E-6</v>
      </c>
    </row>
    <row r="28" spans="1:12" ht="13.05" customHeight="1" x14ac:dyDescent="0.3">
      <c r="A28" s="10" t="s">
        <v>443</v>
      </c>
      <c r="B28" s="3"/>
      <c r="C28" s="11">
        <v>-55283.88</v>
      </c>
      <c r="D28" s="7"/>
      <c r="E28" s="6"/>
      <c r="F28" s="7"/>
      <c r="G28" s="6"/>
      <c r="H28" s="7"/>
      <c r="I28" s="7"/>
      <c r="J28" s="6"/>
      <c r="K28" s="6"/>
      <c r="L28" s="12">
        <v>-7.6099999999999996E-4</v>
      </c>
    </row>
    <row r="29" spans="1:12" ht="13.05" customHeight="1" x14ac:dyDescent="0.3">
      <c r="A29" s="3"/>
      <c r="B29" s="3"/>
      <c r="C29" s="6"/>
      <c r="D29" s="7"/>
      <c r="E29" s="6"/>
      <c r="F29" s="7"/>
      <c r="G29" s="6"/>
      <c r="H29" s="7"/>
      <c r="I29" s="7"/>
      <c r="J29" s="6"/>
      <c r="K29" s="6"/>
      <c r="L29" s="7"/>
    </row>
    <row r="30" spans="1:12" ht="13.05" customHeight="1" x14ac:dyDescent="0.3">
      <c r="A30" s="10" t="s">
        <v>444</v>
      </c>
      <c r="B30" s="3"/>
      <c r="C30" s="11">
        <v>0</v>
      </c>
      <c r="D30" s="7"/>
      <c r="E30" s="6"/>
      <c r="F30" s="7"/>
      <c r="G30" s="6"/>
      <c r="H30" s="7"/>
      <c r="I30" s="7"/>
      <c r="J30" s="6"/>
      <c r="K30" s="6"/>
      <c r="L30" s="12">
        <v>0</v>
      </c>
    </row>
    <row r="31" spans="1:12" ht="13.05" customHeight="1" x14ac:dyDescent="0.3">
      <c r="A31" s="3"/>
      <c r="B31" s="3"/>
      <c r="C31" s="6"/>
      <c r="D31" s="7"/>
      <c r="E31" s="6"/>
      <c r="F31" s="7"/>
      <c r="G31" s="6"/>
      <c r="H31" s="7"/>
      <c r="I31" s="7"/>
      <c r="J31" s="6"/>
      <c r="K31" s="6"/>
      <c r="L31" s="7"/>
    </row>
    <row r="32" spans="1:12" ht="13.05" customHeight="1" x14ac:dyDescent="0.3">
      <c r="A32" s="3"/>
      <c r="B32" s="3"/>
      <c r="C32" s="6"/>
      <c r="D32" s="7"/>
      <c r="E32" s="6"/>
      <c r="F32" s="7"/>
      <c r="G32" s="6"/>
      <c r="H32" s="7"/>
      <c r="I32" s="7"/>
      <c r="J32" s="6"/>
      <c r="K32" s="6"/>
      <c r="L32" s="7"/>
    </row>
    <row r="33" spans="1:12" ht="13.05" customHeight="1" x14ac:dyDescent="0.3">
      <c r="A33" s="8" t="s">
        <v>43</v>
      </c>
      <c r="B33" s="3"/>
      <c r="C33" s="6"/>
      <c r="D33" s="7"/>
      <c r="E33" s="6"/>
      <c r="F33" s="7"/>
      <c r="G33" s="6"/>
      <c r="H33" s="7"/>
      <c r="I33" s="7"/>
      <c r="J33" s="6"/>
      <c r="K33" s="6"/>
      <c r="L33" s="7"/>
    </row>
    <row r="34" spans="1:12" x14ac:dyDescent="0.3">
      <c r="A34" s="3" t="s">
        <v>445</v>
      </c>
      <c r="B34" s="3"/>
      <c r="C34" s="6">
        <v>-667327.47</v>
      </c>
      <c r="D34" s="7"/>
      <c r="E34" s="6"/>
      <c r="F34" s="7"/>
      <c r="G34" s="6"/>
      <c r="H34" s="7"/>
      <c r="I34" s="7"/>
      <c r="J34" s="6"/>
      <c r="K34" s="6"/>
      <c r="L34" s="7">
        <v>-9.1809999999999999E-3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4.4" x14ac:dyDescent="0.3"/>
  <cols>
    <col min="1" max="3" width="28" customWidth="1"/>
    <col min="4" max="4" width="14" customWidth="1"/>
    <col min="5" max="5" width="28" customWidth="1"/>
    <col min="6" max="7" width="14" customWidth="1"/>
    <col min="8" max="8" width="28" customWidth="1"/>
    <col min="9" max="10" width="14" customWidth="1"/>
    <col min="11" max="11" width="28" customWidth="1"/>
    <col min="12" max="13" width="14" customWidth="1"/>
  </cols>
  <sheetData>
    <row r="1" spans="1:12" x14ac:dyDescent="0.3">
      <c r="A1" s="13" t="s">
        <v>480</v>
      </c>
    </row>
    <row r="3" spans="1:12" ht="24" customHeight="1" x14ac:dyDescent="0.3">
      <c r="A3" s="1" t="s">
        <v>446</v>
      </c>
      <c r="B3" s="1" t="s">
        <v>447</v>
      </c>
      <c r="C3" s="1" t="s">
        <v>448</v>
      </c>
      <c r="D3" s="1" t="s">
        <v>449</v>
      </c>
      <c r="E3" s="1" t="s">
        <v>450</v>
      </c>
      <c r="F3" s="1" t="s">
        <v>451</v>
      </c>
      <c r="G3" s="1" t="s">
        <v>452</v>
      </c>
      <c r="H3" s="1" t="s">
        <v>453</v>
      </c>
      <c r="I3" s="1" t="s">
        <v>36</v>
      </c>
      <c r="J3" s="1" t="s">
        <v>454</v>
      </c>
      <c r="K3" s="1" t="s">
        <v>455</v>
      </c>
      <c r="L3" s="1" t="s">
        <v>456</v>
      </c>
    </row>
    <row r="4" spans="1:12" ht="13.05" customHeight="1" x14ac:dyDescent="0.3">
      <c r="A4" s="3" t="s">
        <v>457</v>
      </c>
      <c r="B4" s="3" t="s">
        <v>221</v>
      </c>
      <c r="C4" s="3" t="s">
        <v>458</v>
      </c>
      <c r="D4" s="4" t="s">
        <v>217</v>
      </c>
      <c r="E4" s="7">
        <v>1.387E-3</v>
      </c>
      <c r="F4" s="6">
        <v>99.59</v>
      </c>
      <c r="G4" s="6">
        <v>99.5</v>
      </c>
      <c r="H4" s="7">
        <v>9.0499999999999999E-4</v>
      </c>
      <c r="I4" s="6">
        <v>1.0354000000000001</v>
      </c>
      <c r="J4" s="6">
        <v>1.0577000000000001</v>
      </c>
      <c r="K4" s="6">
        <v>-2.1083000000000001E-2</v>
      </c>
      <c r="L4" s="3" t="s">
        <v>459</v>
      </c>
    </row>
    <row r="5" spans="1:12" ht="13.05" customHeight="1" x14ac:dyDescent="0.3">
      <c r="A5" s="3" t="s">
        <v>460</v>
      </c>
      <c r="B5" s="3" t="s">
        <v>461</v>
      </c>
      <c r="C5" s="3" t="s">
        <v>462</v>
      </c>
      <c r="D5" s="4" t="s">
        <v>217</v>
      </c>
      <c r="E5" s="7">
        <v>3.5E-4</v>
      </c>
      <c r="F5" s="6">
        <v>1.038848</v>
      </c>
      <c r="G5" s="6">
        <v>1.063102</v>
      </c>
      <c r="H5" s="7">
        <v>-2.2814000000000001E-2</v>
      </c>
      <c r="I5" s="6">
        <v>1.0354000000000001</v>
      </c>
      <c r="J5" s="6">
        <v>1.0577000000000001</v>
      </c>
      <c r="K5" s="6">
        <v>-2.1083000000000001E-2</v>
      </c>
      <c r="L5" s="3" t="s">
        <v>463</v>
      </c>
    </row>
    <row r="6" spans="1:12" ht="13.05" customHeight="1" x14ac:dyDescent="0.3">
      <c r="A6" s="3" t="s">
        <v>464</v>
      </c>
      <c r="B6" s="3" t="s">
        <v>221</v>
      </c>
      <c r="C6" s="3" t="s">
        <v>465</v>
      </c>
      <c r="D6" s="4" t="s">
        <v>217</v>
      </c>
      <c r="E6" s="7">
        <v>2.6899999999999998E-4</v>
      </c>
      <c r="F6" s="6">
        <v>99.943849</v>
      </c>
      <c r="G6" s="6">
        <v>98.319331000000005</v>
      </c>
      <c r="H6" s="7">
        <v>1.6522999999999999E-2</v>
      </c>
      <c r="I6" s="6">
        <v>1.0354000000000001</v>
      </c>
      <c r="J6" s="6">
        <v>1.0577000000000001</v>
      </c>
      <c r="K6" s="6">
        <v>-2.1083000000000001E-2</v>
      </c>
      <c r="L6" s="3" t="s">
        <v>459</v>
      </c>
    </row>
    <row r="7" spans="1:12" ht="13.05" customHeight="1" x14ac:dyDescent="0.3">
      <c r="A7" s="3" t="s">
        <v>466</v>
      </c>
      <c r="B7" s="3" t="s">
        <v>55</v>
      </c>
      <c r="C7" s="3" t="s">
        <v>467</v>
      </c>
      <c r="D7" s="4" t="s">
        <v>12</v>
      </c>
      <c r="E7" s="7">
        <v>1.8200000000000001E-4</v>
      </c>
      <c r="F7" s="6">
        <v>100.357</v>
      </c>
      <c r="G7" s="6">
        <v>100.46899999999999</v>
      </c>
      <c r="H7" s="7">
        <v>-1.1150000000000001E-3</v>
      </c>
      <c r="I7" s="6">
        <v>1</v>
      </c>
      <c r="J7" s="6">
        <v>1</v>
      </c>
      <c r="K7" s="6">
        <v>0</v>
      </c>
      <c r="L7" s="3" t="s">
        <v>459</v>
      </c>
    </row>
    <row r="8" spans="1:12" ht="13.05" customHeight="1" x14ac:dyDescent="0.3">
      <c r="A8" s="3" t="s">
        <v>468</v>
      </c>
      <c r="B8" s="3" t="s">
        <v>55</v>
      </c>
      <c r="C8" s="3" t="s">
        <v>469</v>
      </c>
      <c r="D8" s="4" t="s">
        <v>12</v>
      </c>
      <c r="E8" s="7">
        <v>8.2000000000000001E-5</v>
      </c>
      <c r="F8" s="6">
        <v>100.39400000000001</v>
      </c>
      <c r="G8" s="6">
        <v>100.547</v>
      </c>
      <c r="H8" s="7">
        <v>-1.5219999999999999E-3</v>
      </c>
      <c r="I8" s="6">
        <v>1</v>
      </c>
      <c r="J8" s="6">
        <v>1</v>
      </c>
      <c r="K8" s="6">
        <v>0</v>
      </c>
      <c r="L8" s="3" t="s">
        <v>459</v>
      </c>
    </row>
    <row r="9" spans="1:12" ht="13.05" customHeight="1" x14ac:dyDescent="0.3">
      <c r="A9" s="3" t="s">
        <v>470</v>
      </c>
      <c r="B9" s="3" t="s">
        <v>55</v>
      </c>
      <c r="C9" s="3" t="s">
        <v>471</v>
      </c>
      <c r="D9" s="4" t="s">
        <v>12</v>
      </c>
      <c r="E9" s="7">
        <v>2.5000000000000001E-5</v>
      </c>
      <c r="F9" s="6">
        <v>96.337999999999994</v>
      </c>
      <c r="G9" s="6">
        <v>96.298000000000002</v>
      </c>
      <c r="H9" s="7">
        <v>4.15E-4</v>
      </c>
      <c r="I9" s="6">
        <v>1</v>
      </c>
      <c r="J9" s="6">
        <v>1</v>
      </c>
      <c r="K9" s="6">
        <v>0</v>
      </c>
      <c r="L9" s="3" t="s">
        <v>459</v>
      </c>
    </row>
    <row r="10" spans="1:12" ht="13.05" customHeight="1" x14ac:dyDescent="0.3">
      <c r="A10" s="3" t="s">
        <v>472</v>
      </c>
      <c r="B10" s="3" t="s">
        <v>473</v>
      </c>
      <c r="C10" s="3" t="s">
        <v>474</v>
      </c>
      <c r="D10" s="4" t="s">
        <v>217</v>
      </c>
      <c r="E10" s="7">
        <v>1.5E-5</v>
      </c>
      <c r="F10" s="6">
        <v>1.038848</v>
      </c>
      <c r="G10" s="6">
        <v>1.063102</v>
      </c>
      <c r="H10" s="7">
        <v>-2.2814000000000001E-2</v>
      </c>
      <c r="I10" s="6">
        <v>1.0354000000000001</v>
      </c>
      <c r="J10" s="6">
        <v>1.0577000000000001</v>
      </c>
      <c r="K10" s="6">
        <v>-2.1083000000000001E-2</v>
      </c>
      <c r="L10" s="3" t="s">
        <v>463</v>
      </c>
    </row>
    <row r="11" spans="1:12" x14ac:dyDescent="0.3">
      <c r="A11" s="3" t="s">
        <v>475</v>
      </c>
      <c r="B11" s="3" t="s">
        <v>476</v>
      </c>
      <c r="C11" s="3" t="s">
        <v>477</v>
      </c>
      <c r="D11" s="4" t="s">
        <v>217</v>
      </c>
      <c r="E11" s="7">
        <v>1.1E-5</v>
      </c>
      <c r="F11" s="6">
        <v>1.038848</v>
      </c>
      <c r="G11" s="6"/>
      <c r="H11" s="7"/>
      <c r="I11" s="6">
        <v>1.0354000000000001</v>
      </c>
      <c r="J11" s="6">
        <v>1.0577000000000001</v>
      </c>
      <c r="K11" s="6">
        <v>-2.1083000000000001E-2</v>
      </c>
      <c r="L11" s="3" t="s">
        <v>463</v>
      </c>
    </row>
    <row r="12" spans="1:12" x14ac:dyDescent="0.3">
      <c r="A12" s="3" t="s">
        <v>478</v>
      </c>
      <c r="B12" s="3" t="s">
        <v>55</v>
      </c>
      <c r="C12" s="3" t="s">
        <v>479</v>
      </c>
      <c r="D12" s="4" t="s">
        <v>216</v>
      </c>
      <c r="E12" s="7">
        <v>0</v>
      </c>
      <c r="F12" s="6">
        <v>0</v>
      </c>
      <c r="G12" s="6">
        <v>0</v>
      </c>
      <c r="H12" s="7">
        <v>0</v>
      </c>
      <c r="I12" s="6">
        <v>0.82726100000000002</v>
      </c>
      <c r="J12" s="6">
        <v>0.83054600000000001</v>
      </c>
      <c r="K12" s="6">
        <v>-3.9550000000000002E-3</v>
      </c>
      <c r="L12" s="3" t="s">
        <v>459</v>
      </c>
    </row>
    <row r="14" spans="1:12" ht="13.05" customHeight="1" x14ac:dyDescent="0.3">
      <c r="A14" s="13" t="s">
        <v>481</v>
      </c>
    </row>
    <row r="16" spans="1:12" ht="13.05" customHeight="1" x14ac:dyDescent="0.3">
      <c r="A16" s="14" t="s">
        <v>446</v>
      </c>
      <c r="B16" s="14" t="s">
        <v>447</v>
      </c>
      <c r="C16" s="14" t="s">
        <v>448</v>
      </c>
      <c r="D16" s="14" t="s">
        <v>449</v>
      </c>
      <c r="E16" s="14" t="s">
        <v>450</v>
      </c>
      <c r="F16" s="14" t="s">
        <v>451</v>
      </c>
      <c r="G16" s="14" t="s">
        <v>452</v>
      </c>
      <c r="H16" s="14" t="s">
        <v>453</v>
      </c>
      <c r="I16" s="14" t="s">
        <v>36</v>
      </c>
      <c r="J16" s="14" t="s">
        <v>454</v>
      </c>
      <c r="K16" s="14" t="s">
        <v>455</v>
      </c>
      <c r="L16" s="14" t="s">
        <v>456</v>
      </c>
    </row>
    <row r="17" spans="1:12" ht="13.05" customHeight="1" x14ac:dyDescent="0.3">
      <c r="A17" s="3" t="s">
        <v>482</v>
      </c>
      <c r="B17" s="3" t="s">
        <v>55</v>
      </c>
      <c r="C17" s="3" t="s">
        <v>483</v>
      </c>
      <c r="D17" s="4" t="s">
        <v>217</v>
      </c>
      <c r="E17" s="7">
        <v>-2.8119999999999998E-3</v>
      </c>
      <c r="F17" s="6">
        <v>362.32</v>
      </c>
      <c r="G17" s="6">
        <v>373.83859999999999</v>
      </c>
      <c r="H17" s="7">
        <v>-3.0811999999999999E-2</v>
      </c>
      <c r="I17" s="6">
        <v>1.0354000000000001</v>
      </c>
      <c r="J17" s="6">
        <v>1.0577000000000001</v>
      </c>
      <c r="K17" s="6">
        <v>-2.1083000000000001E-2</v>
      </c>
      <c r="L17" s="3" t="s">
        <v>459</v>
      </c>
    </row>
    <row r="18" spans="1:12" ht="13.05" customHeight="1" x14ac:dyDescent="0.3">
      <c r="A18" s="3" t="s">
        <v>484</v>
      </c>
      <c r="B18" s="3" t="s">
        <v>485</v>
      </c>
      <c r="C18" s="3" t="s">
        <v>486</v>
      </c>
      <c r="D18" s="4" t="s">
        <v>12</v>
      </c>
      <c r="E18" s="7">
        <v>-1.0889999999999999E-3</v>
      </c>
      <c r="F18" s="6">
        <v>1.038848</v>
      </c>
      <c r="G18" s="6">
        <v>1.063102</v>
      </c>
      <c r="H18" s="7">
        <v>-2.2814000000000001E-2</v>
      </c>
      <c r="I18" s="6">
        <v>1</v>
      </c>
      <c r="J18" s="6">
        <v>1</v>
      </c>
      <c r="K18" s="6">
        <v>0</v>
      </c>
      <c r="L18" s="3" t="s">
        <v>463</v>
      </c>
    </row>
    <row r="19" spans="1:12" ht="13.05" customHeight="1" x14ac:dyDescent="0.3">
      <c r="A19" s="3" t="s">
        <v>487</v>
      </c>
      <c r="B19" s="3" t="s">
        <v>488</v>
      </c>
      <c r="C19" s="3" t="s">
        <v>489</v>
      </c>
      <c r="D19" s="4" t="s">
        <v>12</v>
      </c>
      <c r="E19" s="7">
        <v>-1.088E-3</v>
      </c>
      <c r="F19" s="6">
        <v>1.038848</v>
      </c>
      <c r="G19" s="6">
        <v>1.063102</v>
      </c>
      <c r="H19" s="7">
        <v>-2.2814000000000001E-2</v>
      </c>
      <c r="I19" s="6">
        <v>1</v>
      </c>
      <c r="J19" s="6">
        <v>1</v>
      </c>
      <c r="K19" s="6">
        <v>0</v>
      </c>
      <c r="L19" s="3" t="s">
        <v>463</v>
      </c>
    </row>
    <row r="20" spans="1:12" ht="13.05" customHeight="1" x14ac:dyDescent="0.3">
      <c r="A20" s="3" t="s">
        <v>490</v>
      </c>
      <c r="B20" s="3" t="s">
        <v>491</v>
      </c>
      <c r="C20" s="3" t="s">
        <v>492</v>
      </c>
      <c r="D20" s="4" t="s">
        <v>12</v>
      </c>
      <c r="E20" s="7">
        <v>-1.0870000000000001E-3</v>
      </c>
      <c r="F20" s="6">
        <v>1.038848</v>
      </c>
      <c r="G20" s="6">
        <v>1.063102</v>
      </c>
      <c r="H20" s="7">
        <v>-2.2814000000000001E-2</v>
      </c>
      <c r="I20" s="6">
        <v>1</v>
      </c>
      <c r="J20" s="6">
        <v>1</v>
      </c>
      <c r="K20" s="6">
        <v>0</v>
      </c>
      <c r="L20" s="3" t="s">
        <v>463</v>
      </c>
    </row>
    <row r="21" spans="1:12" ht="13.05" customHeight="1" x14ac:dyDescent="0.3">
      <c r="A21" s="3" t="s">
        <v>493</v>
      </c>
      <c r="B21" s="3" t="s">
        <v>494</v>
      </c>
      <c r="C21" s="3" t="s">
        <v>495</v>
      </c>
      <c r="D21" s="4" t="s">
        <v>12</v>
      </c>
      <c r="E21" s="7">
        <v>-1.0870000000000001E-3</v>
      </c>
      <c r="F21" s="6">
        <v>1.038848</v>
      </c>
      <c r="G21" s="6">
        <v>1.063102</v>
      </c>
      <c r="H21" s="7">
        <v>-2.2814000000000001E-2</v>
      </c>
      <c r="I21" s="6">
        <v>1</v>
      </c>
      <c r="J21" s="6">
        <v>1</v>
      </c>
      <c r="K21" s="6">
        <v>0</v>
      </c>
      <c r="L21" s="3" t="s">
        <v>463</v>
      </c>
    </row>
    <row r="22" spans="1:12" ht="13.05" customHeight="1" x14ac:dyDescent="0.3">
      <c r="A22" s="3" t="s">
        <v>496</v>
      </c>
      <c r="B22" s="3" t="s">
        <v>497</v>
      </c>
      <c r="C22" s="3" t="s">
        <v>498</v>
      </c>
      <c r="D22" s="4" t="s">
        <v>12</v>
      </c>
      <c r="E22" s="7">
        <v>-1.0870000000000001E-3</v>
      </c>
      <c r="F22" s="6">
        <v>1.038848</v>
      </c>
      <c r="G22" s="6">
        <v>1.063102</v>
      </c>
      <c r="H22" s="7">
        <v>-2.2814000000000001E-2</v>
      </c>
      <c r="I22" s="6">
        <v>1</v>
      </c>
      <c r="J22" s="6">
        <v>1</v>
      </c>
      <c r="K22" s="6">
        <v>0</v>
      </c>
      <c r="L22" s="3" t="s">
        <v>463</v>
      </c>
    </row>
    <row r="23" spans="1:12" ht="13.05" customHeight="1" x14ac:dyDescent="0.3">
      <c r="A23" s="3" t="s">
        <v>499</v>
      </c>
      <c r="B23" s="3" t="s">
        <v>500</v>
      </c>
      <c r="C23" s="3" t="s">
        <v>501</v>
      </c>
      <c r="D23" s="4" t="s">
        <v>12</v>
      </c>
      <c r="E23" s="7">
        <v>-1.0859999999999999E-3</v>
      </c>
      <c r="F23" s="6">
        <v>1.038848</v>
      </c>
      <c r="G23" s="6">
        <v>1.063102</v>
      </c>
      <c r="H23" s="7">
        <v>-2.2814000000000001E-2</v>
      </c>
      <c r="I23" s="6">
        <v>1</v>
      </c>
      <c r="J23" s="6">
        <v>1</v>
      </c>
      <c r="K23" s="6">
        <v>0</v>
      </c>
      <c r="L23" s="3" t="s">
        <v>463</v>
      </c>
    </row>
    <row r="24" spans="1:12" ht="13.05" customHeight="1" x14ac:dyDescent="0.3">
      <c r="A24" s="3" t="s">
        <v>502</v>
      </c>
      <c r="B24" s="3" t="s">
        <v>503</v>
      </c>
      <c r="C24" s="3" t="s">
        <v>504</v>
      </c>
      <c r="D24" s="4" t="s">
        <v>12</v>
      </c>
      <c r="E24" s="7">
        <v>-1.0859999999999999E-3</v>
      </c>
      <c r="F24" s="6">
        <v>1.038848</v>
      </c>
      <c r="G24" s="6">
        <v>1.063102</v>
      </c>
      <c r="H24" s="7">
        <v>-2.2814000000000001E-2</v>
      </c>
      <c r="I24" s="6">
        <v>1</v>
      </c>
      <c r="J24" s="6">
        <v>1</v>
      </c>
      <c r="K24" s="6">
        <v>0</v>
      </c>
      <c r="L24" s="3" t="s">
        <v>463</v>
      </c>
    </row>
    <row r="25" spans="1:12" ht="13.05" customHeight="1" x14ac:dyDescent="0.3">
      <c r="A25" s="3" t="s">
        <v>505</v>
      </c>
      <c r="B25" s="3" t="s">
        <v>506</v>
      </c>
      <c r="C25" s="3" t="s">
        <v>507</v>
      </c>
      <c r="D25" s="4" t="s">
        <v>12</v>
      </c>
      <c r="E25" s="7">
        <v>-1.0859999999999999E-3</v>
      </c>
      <c r="F25" s="6">
        <v>1.038848</v>
      </c>
      <c r="G25" s="6">
        <v>1.063102</v>
      </c>
      <c r="H25" s="7">
        <v>-2.2814000000000001E-2</v>
      </c>
      <c r="I25" s="6">
        <v>1</v>
      </c>
      <c r="J25" s="6">
        <v>1</v>
      </c>
      <c r="K25" s="6">
        <v>0</v>
      </c>
      <c r="L25" s="3" t="s">
        <v>463</v>
      </c>
    </row>
    <row r="26" spans="1:12" ht="13.05" customHeight="1" x14ac:dyDescent="0.3">
      <c r="A26" s="3" t="s">
        <v>508</v>
      </c>
      <c r="B26" s="3" t="s">
        <v>55</v>
      </c>
      <c r="C26" s="3" t="s">
        <v>509</v>
      </c>
      <c r="D26" s="4" t="s">
        <v>12</v>
      </c>
      <c r="E26" s="7">
        <v>-3.6999999999999998E-5</v>
      </c>
      <c r="F26" s="6">
        <v>95.213999999999999</v>
      </c>
      <c r="G26" s="6">
        <v>95.251999999999995</v>
      </c>
      <c r="H26" s="7">
        <v>-3.9899999999999999E-4</v>
      </c>
      <c r="I26" s="6">
        <v>1</v>
      </c>
      <c r="J26" s="6">
        <v>1</v>
      </c>
      <c r="K26" s="6">
        <v>0</v>
      </c>
      <c r="L26" s="3" t="s">
        <v>459</v>
      </c>
    </row>
    <row r="27" spans="1:12" ht="13.05" customHeight="1" x14ac:dyDescent="0.3">
      <c r="A27" s="3" t="s">
        <v>510</v>
      </c>
      <c r="B27" s="3" t="s">
        <v>55</v>
      </c>
      <c r="C27" s="3" t="s">
        <v>511</v>
      </c>
      <c r="D27" s="4" t="s">
        <v>12</v>
      </c>
      <c r="E27" s="7">
        <v>-3.4E-5</v>
      </c>
      <c r="F27" s="6">
        <v>97.518154999999993</v>
      </c>
      <c r="G27" s="6">
        <v>97.604900000000001</v>
      </c>
      <c r="H27" s="7">
        <v>-8.8900000000000003E-4</v>
      </c>
      <c r="I27" s="6">
        <v>1</v>
      </c>
      <c r="J27" s="6">
        <v>1</v>
      </c>
      <c r="K27" s="6">
        <v>0</v>
      </c>
      <c r="L27" s="3" t="s">
        <v>459</v>
      </c>
    </row>
    <row r="28" spans="1:12" x14ac:dyDescent="0.3">
      <c r="A28" s="3" t="s">
        <v>512</v>
      </c>
      <c r="B28" s="3" t="s">
        <v>55</v>
      </c>
      <c r="C28" s="3" t="s">
        <v>513</v>
      </c>
      <c r="D28" s="4" t="s">
        <v>12</v>
      </c>
      <c r="E28" s="7">
        <v>-2.5000000000000001E-5</v>
      </c>
      <c r="F28" s="6">
        <v>96.540999999999997</v>
      </c>
      <c r="G28" s="6">
        <v>96.600999999999999</v>
      </c>
      <c r="H28" s="7">
        <v>-6.2100000000000002E-4</v>
      </c>
      <c r="I28" s="6">
        <v>1</v>
      </c>
      <c r="J28" s="6">
        <v>1</v>
      </c>
      <c r="K28" s="6">
        <v>0</v>
      </c>
      <c r="L28" s="3" t="s">
        <v>459</v>
      </c>
    </row>
    <row r="29" spans="1:12" x14ac:dyDescent="0.3">
      <c r="A29" s="3" t="s">
        <v>514</v>
      </c>
      <c r="B29" s="3" t="s">
        <v>515</v>
      </c>
      <c r="C29" s="3" t="s">
        <v>516</v>
      </c>
      <c r="D29" s="4" t="s">
        <v>12</v>
      </c>
      <c r="E29" s="7">
        <v>-9.9999999999999995E-7</v>
      </c>
      <c r="F29" s="6">
        <v>0.830704</v>
      </c>
      <c r="G29" s="6">
        <v>0.83496300000000001</v>
      </c>
      <c r="H29" s="7">
        <v>-5.1009999999999996E-3</v>
      </c>
      <c r="I29" s="6">
        <v>1</v>
      </c>
      <c r="J29" s="6">
        <v>1</v>
      </c>
      <c r="K29" s="6">
        <v>0</v>
      </c>
      <c r="L29" s="3" t="s">
        <v>463</v>
      </c>
    </row>
    <row r="30" spans="1:12" x14ac:dyDescent="0.3">
      <c r="A30" s="3" t="s">
        <v>517</v>
      </c>
      <c r="B30" s="3" t="s">
        <v>518</v>
      </c>
      <c r="C30" s="3" t="s">
        <v>519</v>
      </c>
      <c r="D30" s="4" t="s">
        <v>12</v>
      </c>
      <c r="E30" s="7">
        <v>-9.9999999999999995E-7</v>
      </c>
      <c r="F30" s="6">
        <v>0.830704</v>
      </c>
      <c r="G30" s="6">
        <v>0.83496300000000001</v>
      </c>
      <c r="H30" s="7">
        <v>-5.1009999999999996E-3</v>
      </c>
      <c r="I30" s="6">
        <v>1</v>
      </c>
      <c r="J30" s="6">
        <v>1</v>
      </c>
      <c r="K30" s="6">
        <v>0</v>
      </c>
      <c r="L30" s="3" t="s">
        <v>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2"/>
  <sheetViews>
    <sheetView workbookViewId="0"/>
  </sheetViews>
  <sheetFormatPr defaultRowHeight="14.4" x14ac:dyDescent="0.3"/>
  <cols>
    <col min="1" max="2" width="28" customWidth="1"/>
    <col min="3" max="5" width="14" customWidth="1"/>
    <col min="6" max="7" width="28" customWidth="1"/>
    <col min="8" max="19" width="14" customWidth="1"/>
    <col min="20" max="20" width="28" customWidth="1"/>
    <col min="21" max="21" width="14" customWidth="1"/>
    <col min="22" max="22" width="28" customWidth="1"/>
    <col min="23" max="24" width="14" customWidth="1"/>
    <col min="25" max="27" width="28" customWidth="1"/>
    <col min="28" max="30" width="14" customWidth="1"/>
  </cols>
  <sheetData>
    <row r="1" spans="1:29" ht="36" customHeight="1" x14ac:dyDescent="0.3">
      <c r="A1" s="1" t="s">
        <v>633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446</v>
      </c>
      <c r="H1" s="1" t="s">
        <v>639</v>
      </c>
      <c r="I1" s="1" t="s">
        <v>531</v>
      </c>
      <c r="J1" s="1" t="s">
        <v>640</v>
      </c>
      <c r="K1" s="1" t="s">
        <v>641</v>
      </c>
      <c r="L1" s="1" t="s">
        <v>642</v>
      </c>
      <c r="M1" s="1" t="s">
        <v>643</v>
      </c>
      <c r="N1" s="1" t="s">
        <v>644</v>
      </c>
      <c r="O1" s="1" t="s">
        <v>645</v>
      </c>
      <c r="P1" s="1" t="s">
        <v>646</v>
      </c>
      <c r="Q1" s="1" t="s">
        <v>647</v>
      </c>
      <c r="R1" s="1" t="s">
        <v>648</v>
      </c>
      <c r="S1" s="1" t="s">
        <v>649</v>
      </c>
      <c r="T1" s="2" t="s">
        <v>650</v>
      </c>
      <c r="U1" s="2" t="s">
        <v>651</v>
      </c>
      <c r="V1" s="2" t="s">
        <v>652</v>
      </c>
      <c r="W1" s="2" t="s">
        <v>653</v>
      </c>
      <c r="X1" s="2" t="s">
        <v>654</v>
      </c>
      <c r="Y1" s="2" t="s">
        <v>655</v>
      </c>
      <c r="Z1" s="2" t="s">
        <v>283</v>
      </c>
      <c r="AA1" s="2" t="s">
        <v>656</v>
      </c>
      <c r="AB1" s="2" t="s">
        <v>657</v>
      </c>
      <c r="AC1" s="2" t="s">
        <v>658</v>
      </c>
    </row>
    <row r="2" spans="1:29" ht="13.05" customHeight="1" x14ac:dyDescent="0.3">
      <c r="A2" s="3" t="s">
        <v>659</v>
      </c>
      <c r="B2" s="3" t="s">
        <v>458</v>
      </c>
      <c r="C2" s="3" t="s">
        <v>13</v>
      </c>
      <c r="D2" s="3" t="s">
        <v>13</v>
      </c>
      <c r="E2" s="3" t="s">
        <v>604</v>
      </c>
      <c r="F2" s="3" t="s">
        <v>660</v>
      </c>
      <c r="G2" s="3" t="s">
        <v>457</v>
      </c>
      <c r="H2" s="4" t="s">
        <v>217</v>
      </c>
      <c r="I2" s="6">
        <v>12531.31</v>
      </c>
      <c r="J2" s="6">
        <v>100</v>
      </c>
      <c r="K2" s="6">
        <v>12531.31</v>
      </c>
      <c r="L2" s="6">
        <v>12102.87</v>
      </c>
      <c r="M2" s="6">
        <v>0</v>
      </c>
      <c r="N2" s="6">
        <v>0</v>
      </c>
      <c r="O2" s="6">
        <v>1654.78</v>
      </c>
      <c r="P2" s="6">
        <v>0</v>
      </c>
      <c r="Q2" s="6">
        <v>0</v>
      </c>
      <c r="R2" s="6">
        <v>0</v>
      </c>
      <c r="S2" s="6">
        <v>0</v>
      </c>
      <c r="T2" s="5" t="s">
        <v>606</v>
      </c>
      <c r="U2" s="18" t="s">
        <v>80</v>
      </c>
      <c r="V2" s="5" t="s">
        <v>661</v>
      </c>
      <c r="W2" s="18" t="s">
        <v>459</v>
      </c>
      <c r="X2" s="5" t="s">
        <v>13</v>
      </c>
      <c r="Y2" s="5"/>
      <c r="Z2" s="5" t="s">
        <v>221</v>
      </c>
      <c r="AA2" s="5" t="s">
        <v>213</v>
      </c>
      <c r="AB2" s="19">
        <v>4732894.7726999996</v>
      </c>
      <c r="AC2" s="5"/>
    </row>
    <row r="3" spans="1:29" ht="13.05" customHeight="1" x14ac:dyDescent="0.3">
      <c r="A3" s="10" t="s">
        <v>59</v>
      </c>
      <c r="B3" s="3"/>
      <c r="C3" s="3"/>
      <c r="D3" s="10"/>
      <c r="E3" s="3"/>
      <c r="F3" s="3"/>
      <c r="G3" s="10"/>
      <c r="H3" s="20"/>
      <c r="I3" s="11"/>
      <c r="J3" s="6"/>
      <c r="K3" s="6"/>
      <c r="L3" s="6"/>
      <c r="M3" s="11"/>
      <c r="N3" s="11">
        <v>0</v>
      </c>
      <c r="O3" s="11">
        <v>1654.78</v>
      </c>
      <c r="P3" s="6"/>
      <c r="Q3" s="11">
        <v>0</v>
      </c>
      <c r="R3" s="11">
        <v>0</v>
      </c>
      <c r="S3" s="11">
        <v>0</v>
      </c>
      <c r="T3" s="5"/>
      <c r="U3" s="18"/>
      <c r="V3" s="5"/>
      <c r="W3" s="18"/>
      <c r="X3" s="5"/>
      <c r="Y3" s="5"/>
      <c r="Z3" s="5"/>
      <c r="AA3" s="5"/>
      <c r="AB3" s="19"/>
      <c r="AC3" s="5"/>
    </row>
    <row r="4" spans="1:29" ht="13.05" customHeight="1" x14ac:dyDescent="0.3">
      <c r="A4" s="3" t="s">
        <v>659</v>
      </c>
      <c r="B4" s="3" t="s">
        <v>662</v>
      </c>
      <c r="C4" s="3" t="s">
        <v>663</v>
      </c>
      <c r="D4" s="3" t="s">
        <v>663</v>
      </c>
      <c r="E4" s="3" t="s">
        <v>664</v>
      </c>
      <c r="F4" s="3" t="s">
        <v>660</v>
      </c>
      <c r="G4" s="3" t="s">
        <v>665</v>
      </c>
      <c r="H4" s="4" t="s">
        <v>216</v>
      </c>
      <c r="I4" s="6">
        <v>806804.81530000002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-779279.64</v>
      </c>
      <c r="P4" s="6">
        <v>0</v>
      </c>
      <c r="Q4" s="6">
        <v>0</v>
      </c>
      <c r="R4" s="6">
        <v>-779279.64</v>
      </c>
      <c r="S4" s="6">
        <v>0</v>
      </c>
      <c r="T4" s="5" t="s">
        <v>666</v>
      </c>
      <c r="U4" s="18" t="s">
        <v>80</v>
      </c>
      <c r="V4" s="5" t="s">
        <v>667</v>
      </c>
      <c r="W4" s="18" t="s">
        <v>459</v>
      </c>
      <c r="X4" s="5" t="s">
        <v>13</v>
      </c>
      <c r="Y4" s="5"/>
      <c r="Z4" s="5" t="s">
        <v>221</v>
      </c>
      <c r="AA4" s="5" t="s">
        <v>213</v>
      </c>
      <c r="AB4" s="19">
        <v>0</v>
      </c>
      <c r="AC4" s="5"/>
    </row>
    <row r="5" spans="1:29" ht="13.05" customHeight="1" x14ac:dyDescent="0.3">
      <c r="A5" s="10" t="s">
        <v>59</v>
      </c>
      <c r="B5" s="3"/>
      <c r="C5" s="3"/>
      <c r="D5" s="10"/>
      <c r="E5" s="3"/>
      <c r="F5" s="3"/>
      <c r="G5" s="10"/>
      <c r="H5" s="20"/>
      <c r="I5" s="11"/>
      <c r="J5" s="6"/>
      <c r="K5" s="6"/>
      <c r="L5" s="6"/>
      <c r="M5" s="11"/>
      <c r="N5" s="11">
        <v>0</v>
      </c>
      <c r="O5" s="11">
        <v>-779279.64</v>
      </c>
      <c r="P5" s="6"/>
      <c r="Q5" s="11">
        <v>0</v>
      </c>
      <c r="R5" s="11">
        <v>-779279.64</v>
      </c>
      <c r="S5" s="11">
        <v>0</v>
      </c>
      <c r="T5" s="5"/>
      <c r="U5" s="18"/>
      <c r="V5" s="5"/>
      <c r="W5" s="18"/>
      <c r="X5" s="5"/>
      <c r="Y5" s="5"/>
      <c r="Z5" s="5"/>
      <c r="AA5" s="5"/>
      <c r="AB5" s="19"/>
      <c r="AC5" s="5"/>
    </row>
    <row r="6" spans="1:29" ht="13.05" customHeight="1" x14ac:dyDescent="0.3">
      <c r="A6" s="3" t="s">
        <v>659</v>
      </c>
      <c r="B6" s="3" t="s">
        <v>668</v>
      </c>
      <c r="C6" s="3" t="s">
        <v>663</v>
      </c>
      <c r="D6" s="3" t="s">
        <v>663</v>
      </c>
      <c r="E6" s="3" t="s">
        <v>664</v>
      </c>
      <c r="F6" s="3" t="s">
        <v>660</v>
      </c>
      <c r="G6" s="3" t="s">
        <v>669</v>
      </c>
      <c r="H6" s="4" t="s">
        <v>216</v>
      </c>
      <c r="I6" s="6">
        <v>127210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-139145.94</v>
      </c>
      <c r="P6" s="6">
        <v>0</v>
      </c>
      <c r="Q6" s="6">
        <v>0</v>
      </c>
      <c r="R6" s="6">
        <v>-139145.94</v>
      </c>
      <c r="S6" s="6">
        <v>0</v>
      </c>
      <c r="T6" s="5" t="s">
        <v>670</v>
      </c>
      <c r="U6" s="18" t="s">
        <v>80</v>
      </c>
      <c r="V6" s="5" t="s">
        <v>671</v>
      </c>
      <c r="W6" s="18" t="s">
        <v>459</v>
      </c>
      <c r="X6" s="5" t="s">
        <v>13</v>
      </c>
      <c r="Y6" s="5"/>
      <c r="Z6" s="5" t="s">
        <v>221</v>
      </c>
      <c r="AA6" s="5" t="s">
        <v>213</v>
      </c>
      <c r="AB6" s="19">
        <v>0</v>
      </c>
      <c r="AC6" s="5"/>
    </row>
    <row r="7" spans="1:29" ht="13.05" customHeight="1" x14ac:dyDescent="0.3">
      <c r="A7" s="10" t="s">
        <v>59</v>
      </c>
      <c r="B7" s="3"/>
      <c r="C7" s="3"/>
      <c r="D7" s="10"/>
      <c r="E7" s="3"/>
      <c r="F7" s="3"/>
      <c r="G7" s="10"/>
      <c r="H7" s="20"/>
      <c r="I7" s="11"/>
      <c r="J7" s="6"/>
      <c r="K7" s="6"/>
      <c r="L7" s="6"/>
      <c r="M7" s="11"/>
      <c r="N7" s="11">
        <v>0</v>
      </c>
      <c r="O7" s="11">
        <v>-139145.94</v>
      </c>
      <c r="P7" s="6"/>
      <c r="Q7" s="11">
        <v>0</v>
      </c>
      <c r="R7" s="11">
        <v>-139145.94</v>
      </c>
      <c r="S7" s="11">
        <v>0</v>
      </c>
      <c r="T7" s="5"/>
      <c r="U7" s="18"/>
      <c r="V7" s="5"/>
      <c r="W7" s="18"/>
      <c r="X7" s="5"/>
      <c r="Y7" s="5"/>
      <c r="Z7" s="5"/>
      <c r="AA7" s="5"/>
      <c r="AB7" s="19"/>
      <c r="AC7" s="5"/>
    </row>
    <row r="8" spans="1:29" ht="13.05" customHeight="1" x14ac:dyDescent="0.3">
      <c r="A8" s="3" t="s">
        <v>672</v>
      </c>
      <c r="B8" s="3" t="s">
        <v>673</v>
      </c>
      <c r="C8" s="3" t="s">
        <v>674</v>
      </c>
      <c r="D8" s="3" t="s">
        <v>674</v>
      </c>
      <c r="E8" s="3" t="s">
        <v>674</v>
      </c>
      <c r="F8" s="3" t="s">
        <v>660</v>
      </c>
      <c r="G8" s="3" t="s">
        <v>675</v>
      </c>
      <c r="H8" s="4" t="s">
        <v>12</v>
      </c>
      <c r="I8" s="6">
        <v>5000000</v>
      </c>
      <c r="J8" s="6">
        <v>100</v>
      </c>
      <c r="K8" s="6">
        <v>5000000</v>
      </c>
      <c r="L8" s="6">
        <v>5000000</v>
      </c>
      <c r="M8" s="6">
        <v>0</v>
      </c>
      <c r="N8" s="6">
        <v>0</v>
      </c>
      <c r="O8" s="6">
        <v>78650</v>
      </c>
      <c r="P8" s="6">
        <v>0</v>
      </c>
      <c r="Q8" s="6">
        <v>0</v>
      </c>
      <c r="R8" s="6">
        <v>78150</v>
      </c>
      <c r="S8" s="6">
        <v>0</v>
      </c>
      <c r="T8" s="5" t="s">
        <v>676</v>
      </c>
      <c r="U8" s="18" t="s">
        <v>677</v>
      </c>
      <c r="V8" s="5" t="s">
        <v>678</v>
      </c>
      <c r="W8" s="18" t="s">
        <v>459</v>
      </c>
      <c r="X8" s="5" t="s">
        <v>679</v>
      </c>
      <c r="Y8" s="5" t="s">
        <v>55</v>
      </c>
      <c r="Z8" s="5" t="s">
        <v>221</v>
      </c>
      <c r="AA8" s="5" t="s">
        <v>213</v>
      </c>
      <c r="AB8" s="19">
        <v>0</v>
      </c>
      <c r="AC8" s="5"/>
    </row>
    <row r="9" spans="1:29" ht="13.05" customHeight="1" x14ac:dyDescent="0.3">
      <c r="A9" s="10" t="s">
        <v>59</v>
      </c>
      <c r="B9" s="3"/>
      <c r="C9" s="3"/>
      <c r="D9" s="10"/>
      <c r="E9" s="3"/>
      <c r="F9" s="3"/>
      <c r="G9" s="10"/>
      <c r="H9" s="20"/>
      <c r="I9" s="11"/>
      <c r="J9" s="6"/>
      <c r="K9" s="6"/>
      <c r="L9" s="6"/>
      <c r="M9" s="11"/>
      <c r="N9" s="11">
        <v>0</v>
      </c>
      <c r="O9" s="11">
        <v>78650</v>
      </c>
      <c r="P9" s="6"/>
      <c r="Q9" s="11">
        <v>0</v>
      </c>
      <c r="R9" s="11">
        <v>78150</v>
      </c>
      <c r="S9" s="11">
        <v>0</v>
      </c>
      <c r="T9" s="5"/>
      <c r="U9" s="18"/>
      <c r="V9" s="5"/>
      <c r="W9" s="18"/>
      <c r="X9" s="5"/>
      <c r="Y9" s="5"/>
      <c r="Z9" s="5"/>
      <c r="AA9" s="5"/>
      <c r="AB9" s="19"/>
      <c r="AC9" s="5"/>
    </row>
    <row r="10" spans="1:29" ht="13.05" customHeight="1" x14ac:dyDescent="0.3">
      <c r="A10" s="3" t="s">
        <v>659</v>
      </c>
      <c r="B10" s="3" t="s">
        <v>680</v>
      </c>
      <c r="C10" s="3" t="s">
        <v>663</v>
      </c>
      <c r="D10" s="3" t="s">
        <v>663</v>
      </c>
      <c r="E10" s="3" t="s">
        <v>664</v>
      </c>
      <c r="F10" s="3" t="s">
        <v>660</v>
      </c>
      <c r="G10" s="3" t="s">
        <v>681</v>
      </c>
      <c r="H10" s="4" t="s">
        <v>216</v>
      </c>
      <c r="I10" s="6">
        <v>22672.832399999999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5" t="s">
        <v>682</v>
      </c>
      <c r="U10" s="18" t="s">
        <v>80</v>
      </c>
      <c r="V10" s="5" t="s">
        <v>683</v>
      </c>
      <c r="W10" s="18" t="s">
        <v>459</v>
      </c>
      <c r="X10" s="5" t="s">
        <v>13</v>
      </c>
      <c r="Y10" s="5"/>
      <c r="Z10" s="5" t="s">
        <v>221</v>
      </c>
      <c r="AA10" s="5" t="s">
        <v>213</v>
      </c>
      <c r="AB10" s="19">
        <v>0</v>
      </c>
      <c r="AC10" s="5"/>
    </row>
    <row r="11" spans="1:29" ht="13.05" customHeight="1" x14ac:dyDescent="0.3">
      <c r="A11" s="10" t="s">
        <v>59</v>
      </c>
      <c r="B11" s="3"/>
      <c r="C11" s="3"/>
      <c r="D11" s="10"/>
      <c r="E11" s="3"/>
      <c r="F11" s="3"/>
      <c r="G11" s="10"/>
      <c r="H11" s="20"/>
      <c r="I11" s="11"/>
      <c r="J11" s="6"/>
      <c r="K11" s="6"/>
      <c r="L11" s="6"/>
      <c r="M11" s="11"/>
      <c r="N11" s="11">
        <v>0</v>
      </c>
      <c r="O11" s="11">
        <v>0</v>
      </c>
      <c r="P11" s="6"/>
      <c r="Q11" s="11">
        <v>0</v>
      </c>
      <c r="R11" s="11">
        <v>0</v>
      </c>
      <c r="S11" s="11">
        <v>0</v>
      </c>
      <c r="T11" s="5"/>
      <c r="U11" s="18"/>
      <c r="V11" s="5"/>
      <c r="W11" s="18"/>
      <c r="X11" s="5"/>
      <c r="Y11" s="5"/>
      <c r="Z11" s="5"/>
      <c r="AA11" s="5"/>
      <c r="AB11" s="19"/>
      <c r="AC11" s="5"/>
    </row>
    <row r="12" spans="1:29" ht="13.05" customHeight="1" x14ac:dyDescent="0.3">
      <c r="A12" s="3" t="s">
        <v>684</v>
      </c>
      <c r="B12" s="3" t="s">
        <v>673</v>
      </c>
      <c r="C12" s="3" t="s">
        <v>674</v>
      </c>
      <c r="D12" s="3" t="s">
        <v>674</v>
      </c>
      <c r="E12" s="3"/>
      <c r="F12" s="3" t="s">
        <v>660</v>
      </c>
      <c r="G12" s="3" t="s">
        <v>675</v>
      </c>
      <c r="H12" s="4" t="s">
        <v>12</v>
      </c>
      <c r="I12" s="6">
        <v>5000000</v>
      </c>
      <c r="J12" s="6">
        <v>2.1999999999999999E-2</v>
      </c>
      <c r="K12" s="6">
        <v>110000</v>
      </c>
      <c r="L12" s="6">
        <v>110000</v>
      </c>
      <c r="M12" s="6">
        <v>110000</v>
      </c>
      <c r="N12" s="6">
        <v>110000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5" t="s">
        <v>676</v>
      </c>
      <c r="U12" s="18" t="s">
        <v>685</v>
      </c>
      <c r="V12" s="5" t="s">
        <v>686</v>
      </c>
      <c r="W12" s="18" t="s">
        <v>687</v>
      </c>
      <c r="X12" s="5" t="s">
        <v>679</v>
      </c>
      <c r="Y12" s="5" t="s">
        <v>55</v>
      </c>
      <c r="Z12" s="5" t="s">
        <v>221</v>
      </c>
      <c r="AA12" s="5" t="s">
        <v>213</v>
      </c>
      <c r="AB12" s="19"/>
      <c r="AC12" s="5"/>
    </row>
    <row r="13" spans="1:29" ht="13.05" customHeight="1" x14ac:dyDescent="0.3">
      <c r="A13" s="10" t="s">
        <v>59</v>
      </c>
      <c r="B13" s="3"/>
      <c r="C13" s="3"/>
      <c r="D13" s="10"/>
      <c r="E13" s="3"/>
      <c r="F13" s="3"/>
      <c r="G13" s="10"/>
      <c r="H13" s="20"/>
      <c r="I13" s="11"/>
      <c r="J13" s="6"/>
      <c r="K13" s="6"/>
      <c r="L13" s="6"/>
      <c r="M13" s="11"/>
      <c r="N13" s="11">
        <v>110000</v>
      </c>
      <c r="O13" s="11">
        <v>0</v>
      </c>
      <c r="P13" s="6"/>
      <c r="Q13" s="11">
        <v>0</v>
      </c>
      <c r="R13" s="11">
        <v>0</v>
      </c>
      <c r="S13" s="11">
        <v>0</v>
      </c>
      <c r="T13" s="5"/>
      <c r="U13" s="18"/>
      <c r="V13" s="5"/>
      <c r="W13" s="18"/>
      <c r="X13" s="5"/>
      <c r="Y13" s="5"/>
      <c r="Z13" s="5"/>
      <c r="AA13" s="5"/>
      <c r="AB13" s="19"/>
      <c r="AC13" s="5"/>
    </row>
    <row r="14" spans="1:29" ht="13.05" customHeight="1" x14ac:dyDescent="0.3">
      <c r="A14" s="3" t="s">
        <v>688</v>
      </c>
      <c r="B14" s="3" t="s">
        <v>477</v>
      </c>
      <c r="C14" s="3" t="s">
        <v>689</v>
      </c>
      <c r="D14" s="3" t="s">
        <v>689</v>
      </c>
      <c r="E14" s="3" t="s">
        <v>618</v>
      </c>
      <c r="F14" s="3" t="s">
        <v>660</v>
      </c>
      <c r="G14" s="3" t="s">
        <v>476</v>
      </c>
      <c r="H14" s="4" t="s">
        <v>12</v>
      </c>
      <c r="I14" s="6">
        <v>-47312.27</v>
      </c>
      <c r="J14" s="6">
        <v>1.056808</v>
      </c>
      <c r="K14" s="6">
        <v>-47312.27</v>
      </c>
      <c r="L14" s="6">
        <v>-47312.27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5" t="s">
        <v>476</v>
      </c>
      <c r="U14" s="18" t="s">
        <v>690</v>
      </c>
      <c r="V14" s="5" t="s">
        <v>691</v>
      </c>
      <c r="W14" s="18" t="s">
        <v>463</v>
      </c>
      <c r="X14" s="5" t="s">
        <v>13</v>
      </c>
      <c r="Y14" s="5" t="s">
        <v>476</v>
      </c>
      <c r="Z14" s="5" t="s">
        <v>221</v>
      </c>
      <c r="AA14" s="5"/>
      <c r="AB14" s="19"/>
      <c r="AC14" s="5" t="s">
        <v>692</v>
      </c>
    </row>
    <row r="15" spans="1:29" ht="13.05" customHeight="1" x14ac:dyDescent="0.3">
      <c r="A15" s="3" t="s">
        <v>688</v>
      </c>
      <c r="B15" s="3" t="s">
        <v>477</v>
      </c>
      <c r="C15" s="3" t="s">
        <v>689</v>
      </c>
      <c r="D15" s="3" t="s">
        <v>689</v>
      </c>
      <c r="E15" s="3" t="s">
        <v>618</v>
      </c>
      <c r="F15" s="3" t="s">
        <v>660</v>
      </c>
      <c r="G15" s="3" t="s">
        <v>476</v>
      </c>
      <c r="H15" s="4" t="s">
        <v>217</v>
      </c>
      <c r="I15" s="6">
        <v>50000</v>
      </c>
      <c r="J15" s="6">
        <v>1.056808</v>
      </c>
      <c r="K15" s="6">
        <v>50000</v>
      </c>
      <c r="L15" s="6">
        <v>47312.27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5" t="s">
        <v>476</v>
      </c>
      <c r="U15" s="18" t="s">
        <v>690</v>
      </c>
      <c r="V15" s="5" t="s">
        <v>691</v>
      </c>
      <c r="W15" s="18" t="s">
        <v>463</v>
      </c>
      <c r="X15" s="5" t="s">
        <v>13</v>
      </c>
      <c r="Y15" s="5" t="s">
        <v>476</v>
      </c>
      <c r="Z15" s="5" t="s">
        <v>221</v>
      </c>
      <c r="AA15" s="5"/>
      <c r="AB15" s="19"/>
      <c r="AC15" s="5" t="s">
        <v>693</v>
      </c>
    </row>
    <row r="16" spans="1:29" ht="13.05" customHeight="1" x14ac:dyDescent="0.3">
      <c r="A16" s="10" t="s">
        <v>59</v>
      </c>
      <c r="B16" s="3"/>
      <c r="C16" s="3"/>
      <c r="D16" s="10"/>
      <c r="E16" s="3"/>
      <c r="F16" s="3"/>
      <c r="G16" s="10"/>
      <c r="H16" s="20"/>
      <c r="I16" s="11"/>
      <c r="J16" s="6"/>
      <c r="K16" s="6"/>
      <c r="L16" s="6"/>
      <c r="M16" s="11"/>
      <c r="N16" s="11">
        <v>0</v>
      </c>
      <c r="O16" s="11">
        <v>0</v>
      </c>
      <c r="P16" s="6"/>
      <c r="Q16" s="11">
        <v>0</v>
      </c>
      <c r="R16" s="11">
        <v>0</v>
      </c>
      <c r="S16" s="11">
        <v>0</v>
      </c>
      <c r="T16" s="5"/>
      <c r="U16" s="18"/>
      <c r="V16" s="5"/>
      <c r="W16" s="18"/>
      <c r="X16" s="5"/>
      <c r="Y16" s="5"/>
      <c r="Z16" s="5"/>
      <c r="AA16" s="5"/>
      <c r="AB16" s="19"/>
      <c r="AC16" s="5"/>
    </row>
    <row r="17" spans="1:29" ht="13.05" customHeight="1" x14ac:dyDescent="0.3">
      <c r="A17" s="3" t="s">
        <v>694</v>
      </c>
      <c r="B17" s="3" t="s">
        <v>695</v>
      </c>
      <c r="C17" s="3" t="s">
        <v>663</v>
      </c>
      <c r="D17" s="3" t="s">
        <v>663</v>
      </c>
      <c r="E17" s="3" t="s">
        <v>663</v>
      </c>
      <c r="F17" s="3" t="s">
        <v>696</v>
      </c>
      <c r="G17" s="3" t="s">
        <v>697</v>
      </c>
      <c r="H17" s="4" t="s">
        <v>12</v>
      </c>
      <c r="I17" s="6">
        <v>3691268.46</v>
      </c>
      <c r="J17" s="6">
        <v>1</v>
      </c>
      <c r="K17" s="6">
        <v>3691268.46</v>
      </c>
      <c r="L17" s="6">
        <v>3691268.46</v>
      </c>
      <c r="M17" s="6">
        <v>0</v>
      </c>
      <c r="N17" s="6">
        <v>0</v>
      </c>
      <c r="O17" s="6">
        <v>-174067</v>
      </c>
      <c r="P17" s="6">
        <v>0</v>
      </c>
      <c r="Q17" s="6">
        <v>0</v>
      </c>
      <c r="R17" s="6">
        <v>-94948.69</v>
      </c>
      <c r="S17" s="6">
        <v>0</v>
      </c>
      <c r="T17" s="5" t="s">
        <v>697</v>
      </c>
      <c r="U17" s="18" t="s">
        <v>698</v>
      </c>
      <c r="V17" s="5" t="s">
        <v>699</v>
      </c>
      <c r="W17" s="18" t="s">
        <v>463</v>
      </c>
      <c r="X17" s="5" t="s">
        <v>663</v>
      </c>
      <c r="Y17" s="5" t="s">
        <v>697</v>
      </c>
      <c r="Z17" s="5" t="s">
        <v>221</v>
      </c>
      <c r="AA17" s="5"/>
      <c r="AB17" s="19"/>
      <c r="AC17" s="5" t="s">
        <v>693</v>
      </c>
    </row>
    <row r="18" spans="1:29" ht="13.05" customHeight="1" x14ac:dyDescent="0.3">
      <c r="A18" s="3" t="s">
        <v>694</v>
      </c>
      <c r="B18" s="3" t="s">
        <v>700</v>
      </c>
      <c r="C18" s="3" t="s">
        <v>663</v>
      </c>
      <c r="D18" s="3" t="s">
        <v>663</v>
      </c>
      <c r="E18" s="3" t="s">
        <v>663</v>
      </c>
      <c r="F18" s="3" t="s">
        <v>696</v>
      </c>
      <c r="G18" s="3" t="s">
        <v>697</v>
      </c>
      <c r="H18" s="4" t="s">
        <v>217</v>
      </c>
      <c r="I18" s="6">
        <v>-4007000</v>
      </c>
      <c r="J18" s="6">
        <v>1.0366500000000001</v>
      </c>
      <c r="K18" s="6">
        <v>-4007000</v>
      </c>
      <c r="L18" s="6">
        <v>-3865335.46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5" t="s">
        <v>697</v>
      </c>
      <c r="U18" s="18" t="s">
        <v>698</v>
      </c>
      <c r="V18" s="5" t="s">
        <v>699</v>
      </c>
      <c r="W18" s="18" t="s">
        <v>463</v>
      </c>
      <c r="X18" s="5" t="s">
        <v>663</v>
      </c>
      <c r="Y18" s="5" t="s">
        <v>697</v>
      </c>
      <c r="Z18" s="5" t="s">
        <v>221</v>
      </c>
      <c r="AA18" s="5"/>
      <c r="AB18" s="19"/>
      <c r="AC18" s="5" t="s">
        <v>692</v>
      </c>
    </row>
    <row r="19" spans="1:29" ht="13.05" customHeight="1" x14ac:dyDescent="0.3">
      <c r="A19" s="10" t="s">
        <v>59</v>
      </c>
      <c r="B19" s="3"/>
      <c r="C19" s="3"/>
      <c r="D19" s="10"/>
      <c r="E19" s="3"/>
      <c r="F19" s="3"/>
      <c r="G19" s="10"/>
      <c r="H19" s="20"/>
      <c r="I19" s="11"/>
      <c r="J19" s="6"/>
      <c r="K19" s="6"/>
      <c r="L19" s="6"/>
      <c r="M19" s="11"/>
      <c r="N19" s="11">
        <v>0</v>
      </c>
      <c r="O19" s="11">
        <v>-174067</v>
      </c>
      <c r="P19" s="6"/>
      <c r="Q19" s="11">
        <v>0</v>
      </c>
      <c r="R19" s="11">
        <v>-94948.69</v>
      </c>
      <c r="S19" s="11">
        <v>0</v>
      </c>
      <c r="T19" s="5"/>
      <c r="U19" s="18"/>
      <c r="V19" s="5"/>
      <c r="W19" s="18"/>
      <c r="X19" s="5"/>
      <c r="Y19" s="5"/>
      <c r="Z19" s="5"/>
      <c r="AA19" s="5"/>
      <c r="AB19" s="19"/>
      <c r="AC19" s="5"/>
    </row>
    <row r="20" spans="1:29" ht="13.05" customHeight="1" x14ac:dyDescent="0.3">
      <c r="A20" s="3" t="s">
        <v>694</v>
      </c>
      <c r="B20" s="3" t="s">
        <v>701</v>
      </c>
      <c r="C20" s="3" t="s">
        <v>663</v>
      </c>
      <c r="D20" s="3" t="s">
        <v>663</v>
      </c>
      <c r="E20" s="3" t="s">
        <v>663</v>
      </c>
      <c r="F20" s="3" t="s">
        <v>696</v>
      </c>
      <c r="G20" s="3" t="s">
        <v>702</v>
      </c>
      <c r="H20" s="4" t="s">
        <v>12</v>
      </c>
      <c r="I20" s="6">
        <v>3678441.6</v>
      </c>
      <c r="J20" s="6">
        <v>1</v>
      </c>
      <c r="K20" s="6">
        <v>3678441.6</v>
      </c>
      <c r="L20" s="6">
        <v>3678441.6</v>
      </c>
      <c r="M20" s="6">
        <v>0</v>
      </c>
      <c r="N20" s="6">
        <v>0</v>
      </c>
      <c r="O20" s="6">
        <v>-186893.86</v>
      </c>
      <c r="P20" s="6">
        <v>0</v>
      </c>
      <c r="Q20" s="6">
        <v>0</v>
      </c>
      <c r="R20" s="6">
        <v>-107783.17</v>
      </c>
      <c r="S20" s="6">
        <v>0</v>
      </c>
      <c r="T20" s="5" t="s">
        <v>702</v>
      </c>
      <c r="U20" s="18" t="s">
        <v>698</v>
      </c>
      <c r="V20" s="5" t="s">
        <v>703</v>
      </c>
      <c r="W20" s="18" t="s">
        <v>463</v>
      </c>
      <c r="X20" s="5" t="s">
        <v>663</v>
      </c>
      <c r="Y20" s="5" t="s">
        <v>702</v>
      </c>
      <c r="Z20" s="5" t="s">
        <v>221</v>
      </c>
      <c r="AA20" s="5"/>
      <c r="AB20" s="19"/>
      <c r="AC20" s="5" t="s">
        <v>693</v>
      </c>
    </row>
    <row r="21" spans="1:29" ht="13.05" customHeight="1" x14ac:dyDescent="0.3">
      <c r="A21" s="3" t="s">
        <v>694</v>
      </c>
      <c r="B21" s="3" t="s">
        <v>704</v>
      </c>
      <c r="C21" s="3" t="s">
        <v>663</v>
      </c>
      <c r="D21" s="3" t="s">
        <v>663</v>
      </c>
      <c r="E21" s="3" t="s">
        <v>663</v>
      </c>
      <c r="F21" s="3" t="s">
        <v>696</v>
      </c>
      <c r="G21" s="3" t="s">
        <v>702</v>
      </c>
      <c r="H21" s="4" t="s">
        <v>217</v>
      </c>
      <c r="I21" s="6">
        <v>-4007000</v>
      </c>
      <c r="J21" s="6">
        <v>1.0366500000000001</v>
      </c>
      <c r="K21" s="6">
        <v>-4007000</v>
      </c>
      <c r="L21" s="6">
        <v>-3865335.46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5" t="s">
        <v>702</v>
      </c>
      <c r="U21" s="18" t="s">
        <v>698</v>
      </c>
      <c r="V21" s="5" t="s">
        <v>703</v>
      </c>
      <c r="W21" s="18" t="s">
        <v>463</v>
      </c>
      <c r="X21" s="5" t="s">
        <v>663</v>
      </c>
      <c r="Y21" s="5" t="s">
        <v>702</v>
      </c>
      <c r="Z21" s="5" t="s">
        <v>221</v>
      </c>
      <c r="AA21" s="5"/>
      <c r="AB21" s="19"/>
      <c r="AC21" s="5" t="s">
        <v>692</v>
      </c>
    </row>
    <row r="22" spans="1:29" ht="13.05" customHeight="1" x14ac:dyDescent="0.3">
      <c r="A22" s="10" t="s">
        <v>59</v>
      </c>
      <c r="B22" s="3"/>
      <c r="C22" s="3"/>
      <c r="D22" s="10"/>
      <c r="E22" s="3"/>
      <c r="F22" s="3"/>
      <c r="G22" s="10"/>
      <c r="H22" s="20"/>
      <c r="I22" s="11"/>
      <c r="J22" s="6"/>
      <c r="K22" s="6"/>
      <c r="L22" s="6"/>
      <c r="M22" s="11"/>
      <c r="N22" s="11">
        <v>0</v>
      </c>
      <c r="O22" s="11">
        <v>-186893.86</v>
      </c>
      <c r="P22" s="6"/>
      <c r="Q22" s="11">
        <v>0</v>
      </c>
      <c r="R22" s="11">
        <v>-107783.17</v>
      </c>
      <c r="S22" s="11">
        <v>0</v>
      </c>
      <c r="T22" s="5"/>
      <c r="U22" s="18"/>
      <c r="V22" s="5"/>
      <c r="W22" s="18"/>
      <c r="X22" s="5"/>
      <c r="Y22" s="5"/>
      <c r="Z22" s="5"/>
      <c r="AA22" s="5"/>
      <c r="AB22" s="19"/>
      <c r="AC22" s="5"/>
    </row>
    <row r="23" spans="1:29" ht="13.05" customHeight="1" x14ac:dyDescent="0.3">
      <c r="A23" s="3" t="s">
        <v>694</v>
      </c>
      <c r="B23" s="3" t="s">
        <v>705</v>
      </c>
      <c r="C23" s="3" t="s">
        <v>663</v>
      </c>
      <c r="D23" s="3" t="s">
        <v>663</v>
      </c>
      <c r="E23" s="3" t="s">
        <v>663</v>
      </c>
      <c r="F23" s="3" t="s">
        <v>696</v>
      </c>
      <c r="G23" s="3" t="s">
        <v>706</v>
      </c>
      <c r="H23" s="4" t="s">
        <v>12</v>
      </c>
      <c r="I23" s="6">
        <v>-45623.58</v>
      </c>
      <c r="J23" s="6">
        <v>1</v>
      </c>
      <c r="K23" s="6">
        <v>-45623.58</v>
      </c>
      <c r="L23" s="6">
        <v>-45623.58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5" t="s">
        <v>706</v>
      </c>
      <c r="U23" s="18" t="s">
        <v>698</v>
      </c>
      <c r="V23" s="5" t="s">
        <v>707</v>
      </c>
      <c r="W23" s="18" t="s">
        <v>463</v>
      </c>
      <c r="X23" s="5" t="s">
        <v>663</v>
      </c>
      <c r="Y23" s="5" t="s">
        <v>706</v>
      </c>
      <c r="Z23" s="5" t="s">
        <v>221</v>
      </c>
      <c r="AA23" s="5"/>
      <c r="AB23" s="19"/>
      <c r="AC23" s="5" t="s">
        <v>692</v>
      </c>
    </row>
    <row r="24" spans="1:29" ht="13.05" customHeight="1" x14ac:dyDescent="0.3">
      <c r="A24" s="3" t="s">
        <v>694</v>
      </c>
      <c r="B24" s="3" t="s">
        <v>708</v>
      </c>
      <c r="C24" s="3" t="s">
        <v>663</v>
      </c>
      <c r="D24" s="3" t="s">
        <v>663</v>
      </c>
      <c r="E24" s="3" t="s">
        <v>663</v>
      </c>
      <c r="F24" s="3" t="s">
        <v>696</v>
      </c>
      <c r="G24" s="3" t="s">
        <v>706</v>
      </c>
      <c r="H24" s="4" t="s">
        <v>217</v>
      </c>
      <c r="I24" s="6">
        <v>50000</v>
      </c>
      <c r="J24" s="6">
        <v>1.0366500000000001</v>
      </c>
      <c r="K24" s="6">
        <v>50000</v>
      </c>
      <c r="L24" s="6">
        <v>48232.29</v>
      </c>
      <c r="M24" s="6">
        <v>0</v>
      </c>
      <c r="N24" s="6">
        <v>0</v>
      </c>
      <c r="O24" s="6">
        <v>2608.71</v>
      </c>
      <c r="P24" s="6">
        <v>0</v>
      </c>
      <c r="Q24" s="6">
        <v>0</v>
      </c>
      <c r="R24" s="6">
        <v>1620.75</v>
      </c>
      <c r="S24" s="6">
        <v>0</v>
      </c>
      <c r="T24" s="5" t="s">
        <v>706</v>
      </c>
      <c r="U24" s="18" t="s">
        <v>698</v>
      </c>
      <c r="V24" s="5" t="s">
        <v>707</v>
      </c>
      <c r="W24" s="18" t="s">
        <v>463</v>
      </c>
      <c r="X24" s="5" t="s">
        <v>663</v>
      </c>
      <c r="Y24" s="5" t="s">
        <v>706</v>
      </c>
      <c r="Z24" s="5" t="s">
        <v>221</v>
      </c>
      <c r="AA24" s="5"/>
      <c r="AB24" s="19"/>
      <c r="AC24" s="5" t="s">
        <v>693</v>
      </c>
    </row>
    <row r="25" spans="1:29" ht="13.05" customHeight="1" x14ac:dyDescent="0.3">
      <c r="A25" s="10" t="s">
        <v>59</v>
      </c>
      <c r="B25" s="3"/>
      <c r="C25" s="3"/>
      <c r="D25" s="10"/>
      <c r="E25" s="3"/>
      <c r="F25" s="3"/>
      <c r="G25" s="10"/>
      <c r="H25" s="20"/>
      <c r="I25" s="11"/>
      <c r="J25" s="6"/>
      <c r="K25" s="6"/>
      <c r="L25" s="6"/>
      <c r="M25" s="11"/>
      <c r="N25" s="11">
        <v>0</v>
      </c>
      <c r="O25" s="11">
        <v>2608.71</v>
      </c>
      <c r="P25" s="6"/>
      <c r="Q25" s="11">
        <v>0</v>
      </c>
      <c r="R25" s="11">
        <v>1620.75</v>
      </c>
      <c r="S25" s="11">
        <v>0</v>
      </c>
      <c r="T25" s="5"/>
      <c r="U25" s="18"/>
      <c r="V25" s="5"/>
      <c r="W25" s="18"/>
      <c r="X25" s="5"/>
      <c r="Y25" s="5"/>
      <c r="Z25" s="5"/>
      <c r="AA25" s="5"/>
      <c r="AB25" s="19"/>
      <c r="AC25" s="5"/>
    </row>
    <row r="26" spans="1:29" ht="13.05" customHeight="1" x14ac:dyDescent="0.3">
      <c r="A26" s="3" t="s">
        <v>694</v>
      </c>
      <c r="B26" s="3" t="s">
        <v>709</v>
      </c>
      <c r="C26" s="3" t="s">
        <v>663</v>
      </c>
      <c r="D26" s="3" t="s">
        <v>663</v>
      </c>
      <c r="E26" s="3" t="s">
        <v>663</v>
      </c>
      <c r="F26" s="3" t="s">
        <v>696</v>
      </c>
      <c r="G26" s="3" t="s">
        <v>710</v>
      </c>
      <c r="H26" s="4" t="s">
        <v>12</v>
      </c>
      <c r="I26" s="6">
        <v>3651410.99</v>
      </c>
      <c r="J26" s="6">
        <v>1</v>
      </c>
      <c r="K26" s="6">
        <v>3651410.99</v>
      </c>
      <c r="L26" s="6">
        <v>3651410.99</v>
      </c>
      <c r="M26" s="6">
        <v>0</v>
      </c>
      <c r="N26" s="6">
        <v>0</v>
      </c>
      <c r="O26" s="6">
        <v>-213924.47</v>
      </c>
      <c r="P26" s="6">
        <v>0</v>
      </c>
      <c r="Q26" s="6">
        <v>0</v>
      </c>
      <c r="R26" s="6">
        <v>-134829.82999999999</v>
      </c>
      <c r="S26" s="6">
        <v>0</v>
      </c>
      <c r="T26" s="5" t="s">
        <v>710</v>
      </c>
      <c r="U26" s="18" t="s">
        <v>698</v>
      </c>
      <c r="V26" s="5" t="s">
        <v>711</v>
      </c>
      <c r="W26" s="18" t="s">
        <v>463</v>
      </c>
      <c r="X26" s="5" t="s">
        <v>663</v>
      </c>
      <c r="Y26" s="5" t="s">
        <v>710</v>
      </c>
      <c r="Z26" s="5" t="s">
        <v>221</v>
      </c>
      <c r="AA26" s="5"/>
      <c r="AB26" s="19"/>
      <c r="AC26" s="5" t="s">
        <v>693</v>
      </c>
    </row>
    <row r="27" spans="1:29" ht="13.05" customHeight="1" x14ac:dyDescent="0.3">
      <c r="A27" s="3" t="s">
        <v>694</v>
      </c>
      <c r="B27" s="3" t="s">
        <v>712</v>
      </c>
      <c r="C27" s="3" t="s">
        <v>663</v>
      </c>
      <c r="D27" s="3" t="s">
        <v>663</v>
      </c>
      <c r="E27" s="3" t="s">
        <v>663</v>
      </c>
      <c r="F27" s="3" t="s">
        <v>696</v>
      </c>
      <c r="G27" s="3" t="s">
        <v>710</v>
      </c>
      <c r="H27" s="4" t="s">
        <v>217</v>
      </c>
      <c r="I27" s="6">
        <v>-4007000</v>
      </c>
      <c r="J27" s="6">
        <v>1.0366500000000001</v>
      </c>
      <c r="K27" s="6">
        <v>-4007000</v>
      </c>
      <c r="L27" s="6">
        <v>-3865335.46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5" t="s">
        <v>710</v>
      </c>
      <c r="U27" s="18" t="s">
        <v>698</v>
      </c>
      <c r="V27" s="5" t="s">
        <v>711</v>
      </c>
      <c r="W27" s="18" t="s">
        <v>463</v>
      </c>
      <c r="X27" s="5" t="s">
        <v>663</v>
      </c>
      <c r="Y27" s="5" t="s">
        <v>710</v>
      </c>
      <c r="Z27" s="5" t="s">
        <v>221</v>
      </c>
      <c r="AA27" s="5"/>
      <c r="AB27" s="19"/>
      <c r="AC27" s="5" t="s">
        <v>692</v>
      </c>
    </row>
    <row r="28" spans="1:29" ht="13.05" customHeight="1" x14ac:dyDescent="0.3">
      <c r="A28" s="10" t="s">
        <v>59</v>
      </c>
      <c r="B28" s="3"/>
      <c r="C28" s="3"/>
      <c r="D28" s="10"/>
      <c r="E28" s="3"/>
      <c r="F28" s="3"/>
      <c r="G28" s="10"/>
      <c r="H28" s="20"/>
      <c r="I28" s="11"/>
      <c r="J28" s="6"/>
      <c r="K28" s="6"/>
      <c r="L28" s="6"/>
      <c r="M28" s="11"/>
      <c r="N28" s="11">
        <v>0</v>
      </c>
      <c r="O28" s="11">
        <v>-213924.47</v>
      </c>
      <c r="P28" s="6"/>
      <c r="Q28" s="11">
        <v>0</v>
      </c>
      <c r="R28" s="11">
        <v>-134829.82999999999</v>
      </c>
      <c r="S28" s="11">
        <v>0</v>
      </c>
      <c r="T28" s="5"/>
      <c r="U28" s="18"/>
      <c r="V28" s="5"/>
      <c r="W28" s="18"/>
      <c r="X28" s="5"/>
      <c r="Y28" s="5"/>
      <c r="Z28" s="5"/>
      <c r="AA28" s="5"/>
      <c r="AB28" s="19"/>
      <c r="AC28" s="5"/>
    </row>
    <row r="29" spans="1:29" ht="13.05" customHeight="1" x14ac:dyDescent="0.3">
      <c r="A29" s="3" t="s">
        <v>694</v>
      </c>
      <c r="B29" s="3" t="s">
        <v>713</v>
      </c>
      <c r="C29" s="3" t="s">
        <v>663</v>
      </c>
      <c r="D29" s="3" t="s">
        <v>663</v>
      </c>
      <c r="E29" s="3" t="s">
        <v>663</v>
      </c>
      <c r="F29" s="3" t="s">
        <v>696</v>
      </c>
      <c r="G29" s="3" t="s">
        <v>714</v>
      </c>
      <c r="H29" s="4" t="s">
        <v>217</v>
      </c>
      <c r="I29" s="6">
        <v>-4007000</v>
      </c>
      <c r="J29" s="6">
        <v>1.0366500000000001</v>
      </c>
      <c r="K29" s="6">
        <v>-4007000</v>
      </c>
      <c r="L29" s="6">
        <v>-3865335.46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5" t="s">
        <v>714</v>
      </c>
      <c r="U29" s="18" t="s">
        <v>698</v>
      </c>
      <c r="V29" s="5" t="s">
        <v>715</v>
      </c>
      <c r="W29" s="18" t="s">
        <v>463</v>
      </c>
      <c r="X29" s="5" t="s">
        <v>663</v>
      </c>
      <c r="Y29" s="5" t="s">
        <v>714</v>
      </c>
      <c r="Z29" s="5" t="s">
        <v>221</v>
      </c>
      <c r="AA29" s="5"/>
      <c r="AB29" s="19"/>
      <c r="AC29" s="5" t="s">
        <v>692</v>
      </c>
    </row>
    <row r="30" spans="1:29" ht="13.05" customHeight="1" x14ac:dyDescent="0.3">
      <c r="A30" s="3" t="s">
        <v>694</v>
      </c>
      <c r="B30" s="3" t="s">
        <v>716</v>
      </c>
      <c r="C30" s="3" t="s">
        <v>663</v>
      </c>
      <c r="D30" s="3" t="s">
        <v>663</v>
      </c>
      <c r="E30" s="3" t="s">
        <v>663</v>
      </c>
      <c r="F30" s="3" t="s">
        <v>696</v>
      </c>
      <c r="G30" s="3" t="s">
        <v>714</v>
      </c>
      <c r="H30" s="4" t="s">
        <v>12</v>
      </c>
      <c r="I30" s="6">
        <v>3647461.68</v>
      </c>
      <c r="J30" s="6">
        <v>1</v>
      </c>
      <c r="K30" s="6">
        <v>3647461.68</v>
      </c>
      <c r="L30" s="6">
        <v>3647461.68</v>
      </c>
      <c r="M30" s="6">
        <v>0</v>
      </c>
      <c r="N30" s="6">
        <v>0</v>
      </c>
      <c r="O30" s="6">
        <v>-217873.78</v>
      </c>
      <c r="P30" s="6">
        <v>0</v>
      </c>
      <c r="Q30" s="6">
        <v>0</v>
      </c>
      <c r="R30" s="6">
        <v>-138781.49</v>
      </c>
      <c r="S30" s="6">
        <v>0</v>
      </c>
      <c r="T30" s="5" t="s">
        <v>714</v>
      </c>
      <c r="U30" s="18" t="s">
        <v>698</v>
      </c>
      <c r="V30" s="5" t="s">
        <v>715</v>
      </c>
      <c r="W30" s="18" t="s">
        <v>463</v>
      </c>
      <c r="X30" s="5" t="s">
        <v>663</v>
      </c>
      <c r="Y30" s="5" t="s">
        <v>714</v>
      </c>
      <c r="Z30" s="5" t="s">
        <v>221</v>
      </c>
      <c r="AA30" s="5"/>
      <c r="AB30" s="19"/>
      <c r="AC30" s="5" t="s">
        <v>693</v>
      </c>
    </row>
    <row r="31" spans="1:29" ht="13.05" customHeight="1" x14ac:dyDescent="0.3">
      <c r="A31" s="10" t="s">
        <v>59</v>
      </c>
      <c r="B31" s="3"/>
      <c r="C31" s="3"/>
      <c r="D31" s="10"/>
      <c r="E31" s="3"/>
      <c r="F31" s="3"/>
      <c r="G31" s="10"/>
      <c r="H31" s="20"/>
      <c r="I31" s="11"/>
      <c r="J31" s="6"/>
      <c r="K31" s="6"/>
      <c r="L31" s="6"/>
      <c r="M31" s="11"/>
      <c r="N31" s="11">
        <v>0</v>
      </c>
      <c r="O31" s="11">
        <v>-217873.78</v>
      </c>
      <c r="P31" s="6"/>
      <c r="Q31" s="11">
        <v>0</v>
      </c>
      <c r="R31" s="11">
        <v>-138781.49</v>
      </c>
      <c r="S31" s="11">
        <v>0</v>
      </c>
      <c r="T31" s="5"/>
      <c r="U31" s="18"/>
      <c r="V31" s="5"/>
      <c r="W31" s="18"/>
      <c r="X31" s="5"/>
      <c r="Y31" s="5"/>
      <c r="Z31" s="5"/>
      <c r="AA31" s="5"/>
      <c r="AB31" s="19"/>
      <c r="AC31" s="5"/>
    </row>
    <row r="32" spans="1:29" ht="13.05" customHeight="1" x14ac:dyDescent="0.3">
      <c r="A32" s="3" t="s">
        <v>694</v>
      </c>
      <c r="B32" s="3" t="s">
        <v>717</v>
      </c>
      <c r="C32" s="3" t="s">
        <v>663</v>
      </c>
      <c r="D32" s="3" t="s">
        <v>663</v>
      </c>
      <c r="E32" s="3" t="s">
        <v>663</v>
      </c>
      <c r="F32" s="3" t="s">
        <v>696</v>
      </c>
      <c r="G32" s="3" t="s">
        <v>718</v>
      </c>
      <c r="H32" s="4" t="s">
        <v>217</v>
      </c>
      <c r="I32" s="6">
        <v>-4007000</v>
      </c>
      <c r="J32" s="6">
        <v>1.0366500000000001</v>
      </c>
      <c r="K32" s="6">
        <v>-4007000</v>
      </c>
      <c r="L32" s="6">
        <v>-3865335.46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5" t="s">
        <v>718</v>
      </c>
      <c r="U32" s="18" t="s">
        <v>698</v>
      </c>
      <c r="V32" s="5" t="s">
        <v>719</v>
      </c>
      <c r="W32" s="18" t="s">
        <v>463</v>
      </c>
      <c r="X32" s="5" t="s">
        <v>663</v>
      </c>
      <c r="Y32" s="5" t="s">
        <v>718</v>
      </c>
      <c r="Z32" s="5" t="s">
        <v>221</v>
      </c>
      <c r="AA32" s="5"/>
      <c r="AB32" s="19"/>
      <c r="AC32" s="5" t="s">
        <v>692</v>
      </c>
    </row>
    <row r="33" spans="1:29" ht="13.05" customHeight="1" x14ac:dyDescent="0.3">
      <c r="A33" s="3" t="s">
        <v>694</v>
      </c>
      <c r="B33" s="3" t="s">
        <v>720</v>
      </c>
      <c r="C33" s="3" t="s">
        <v>663</v>
      </c>
      <c r="D33" s="3" t="s">
        <v>663</v>
      </c>
      <c r="E33" s="3" t="s">
        <v>663</v>
      </c>
      <c r="F33" s="3" t="s">
        <v>696</v>
      </c>
      <c r="G33" s="3" t="s">
        <v>718</v>
      </c>
      <c r="H33" s="4" t="s">
        <v>12</v>
      </c>
      <c r="I33" s="6">
        <v>3653522.77</v>
      </c>
      <c r="J33" s="6">
        <v>1</v>
      </c>
      <c r="K33" s="6">
        <v>3653522.77</v>
      </c>
      <c r="L33" s="6">
        <v>3653522.77</v>
      </c>
      <c r="M33" s="6">
        <v>0</v>
      </c>
      <c r="N33" s="6">
        <v>0</v>
      </c>
      <c r="O33" s="6">
        <v>-211812.69</v>
      </c>
      <c r="P33" s="6">
        <v>0</v>
      </c>
      <c r="Q33" s="6">
        <v>0</v>
      </c>
      <c r="R33" s="6">
        <v>-132716.79</v>
      </c>
      <c r="S33" s="6">
        <v>0</v>
      </c>
      <c r="T33" s="5" t="s">
        <v>718</v>
      </c>
      <c r="U33" s="18" t="s">
        <v>698</v>
      </c>
      <c r="V33" s="5" t="s">
        <v>719</v>
      </c>
      <c r="W33" s="18" t="s">
        <v>463</v>
      </c>
      <c r="X33" s="5" t="s">
        <v>663</v>
      </c>
      <c r="Y33" s="5" t="s">
        <v>718</v>
      </c>
      <c r="Z33" s="5" t="s">
        <v>221</v>
      </c>
      <c r="AA33" s="5"/>
      <c r="AB33" s="19"/>
      <c r="AC33" s="5" t="s">
        <v>693</v>
      </c>
    </row>
    <row r="34" spans="1:29" ht="13.05" customHeight="1" x14ac:dyDescent="0.3">
      <c r="A34" s="10" t="s">
        <v>59</v>
      </c>
      <c r="B34" s="3"/>
      <c r="C34" s="3"/>
      <c r="D34" s="10"/>
      <c r="E34" s="3"/>
      <c r="F34" s="3"/>
      <c r="G34" s="10"/>
      <c r="H34" s="20"/>
      <c r="I34" s="11"/>
      <c r="J34" s="6"/>
      <c r="K34" s="6"/>
      <c r="L34" s="6"/>
      <c r="M34" s="11"/>
      <c r="N34" s="11">
        <v>0</v>
      </c>
      <c r="O34" s="11">
        <v>-211812.69</v>
      </c>
      <c r="P34" s="6"/>
      <c r="Q34" s="11">
        <v>0</v>
      </c>
      <c r="R34" s="11">
        <v>-132716.79</v>
      </c>
      <c r="S34" s="11">
        <v>0</v>
      </c>
      <c r="T34" s="5"/>
      <c r="U34" s="18"/>
      <c r="V34" s="5"/>
      <c r="W34" s="18"/>
      <c r="X34" s="5"/>
      <c r="Y34" s="5"/>
      <c r="Z34" s="5"/>
      <c r="AA34" s="5"/>
      <c r="AB34" s="19"/>
      <c r="AC34" s="5"/>
    </row>
    <row r="35" spans="1:29" ht="13.05" customHeight="1" x14ac:dyDescent="0.3">
      <c r="A35" s="3" t="s">
        <v>694</v>
      </c>
      <c r="B35" s="3" t="s">
        <v>721</v>
      </c>
      <c r="C35" s="3" t="s">
        <v>663</v>
      </c>
      <c r="D35" s="3" t="s">
        <v>663</v>
      </c>
      <c r="E35" s="3" t="s">
        <v>663</v>
      </c>
      <c r="F35" s="3" t="s">
        <v>696</v>
      </c>
      <c r="G35" s="3" t="s">
        <v>722</v>
      </c>
      <c r="H35" s="4" t="s">
        <v>217</v>
      </c>
      <c r="I35" s="6">
        <v>-4007000</v>
      </c>
      <c r="J35" s="6">
        <v>1.0366500000000001</v>
      </c>
      <c r="K35" s="6">
        <v>-4007000</v>
      </c>
      <c r="L35" s="6">
        <v>-3865335.46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5" t="s">
        <v>722</v>
      </c>
      <c r="U35" s="18" t="s">
        <v>698</v>
      </c>
      <c r="V35" s="5" t="s">
        <v>723</v>
      </c>
      <c r="W35" s="18" t="s">
        <v>463</v>
      </c>
      <c r="X35" s="5" t="s">
        <v>663</v>
      </c>
      <c r="Y35" s="5" t="s">
        <v>722</v>
      </c>
      <c r="Z35" s="5" t="s">
        <v>221</v>
      </c>
      <c r="AA35" s="5"/>
      <c r="AB35" s="19"/>
      <c r="AC35" s="5" t="s">
        <v>692</v>
      </c>
    </row>
    <row r="36" spans="1:29" ht="13.05" customHeight="1" x14ac:dyDescent="0.3">
      <c r="A36" s="3" t="s">
        <v>694</v>
      </c>
      <c r="B36" s="3" t="s">
        <v>724</v>
      </c>
      <c r="C36" s="3" t="s">
        <v>663</v>
      </c>
      <c r="D36" s="3" t="s">
        <v>663</v>
      </c>
      <c r="E36" s="3" t="s">
        <v>663</v>
      </c>
      <c r="F36" s="3" t="s">
        <v>696</v>
      </c>
      <c r="G36" s="3" t="s">
        <v>722</v>
      </c>
      <c r="H36" s="4" t="s">
        <v>12</v>
      </c>
      <c r="I36" s="6">
        <v>3651308.84</v>
      </c>
      <c r="J36" s="6">
        <v>1</v>
      </c>
      <c r="K36" s="6">
        <v>3651308.84</v>
      </c>
      <c r="L36" s="6">
        <v>3651308.84</v>
      </c>
      <c r="M36" s="6">
        <v>0</v>
      </c>
      <c r="N36" s="6">
        <v>0</v>
      </c>
      <c r="O36" s="6">
        <v>-214026.62</v>
      </c>
      <c r="P36" s="6">
        <v>0</v>
      </c>
      <c r="Q36" s="6">
        <v>0</v>
      </c>
      <c r="R36" s="6">
        <v>-134932.04</v>
      </c>
      <c r="S36" s="6">
        <v>0</v>
      </c>
      <c r="T36" s="5" t="s">
        <v>722</v>
      </c>
      <c r="U36" s="18" t="s">
        <v>698</v>
      </c>
      <c r="V36" s="5" t="s">
        <v>723</v>
      </c>
      <c r="W36" s="18" t="s">
        <v>463</v>
      </c>
      <c r="X36" s="5" t="s">
        <v>663</v>
      </c>
      <c r="Y36" s="5" t="s">
        <v>722</v>
      </c>
      <c r="Z36" s="5" t="s">
        <v>221</v>
      </c>
      <c r="AA36" s="5"/>
      <c r="AB36" s="19"/>
      <c r="AC36" s="5" t="s">
        <v>693</v>
      </c>
    </row>
    <row r="37" spans="1:29" ht="13.05" customHeight="1" x14ac:dyDescent="0.3">
      <c r="A37" s="10" t="s">
        <v>59</v>
      </c>
      <c r="B37" s="3"/>
      <c r="C37" s="3"/>
      <c r="D37" s="10"/>
      <c r="E37" s="3"/>
      <c r="F37" s="3"/>
      <c r="G37" s="10"/>
      <c r="H37" s="20"/>
      <c r="I37" s="11"/>
      <c r="J37" s="6"/>
      <c r="K37" s="6"/>
      <c r="L37" s="6"/>
      <c r="M37" s="11"/>
      <c r="N37" s="11">
        <v>0</v>
      </c>
      <c r="O37" s="11">
        <v>-214026.62</v>
      </c>
      <c r="P37" s="6"/>
      <c r="Q37" s="11">
        <v>0</v>
      </c>
      <c r="R37" s="11">
        <v>-134932.04</v>
      </c>
      <c r="S37" s="11">
        <v>0</v>
      </c>
      <c r="T37" s="5"/>
      <c r="U37" s="18"/>
      <c r="V37" s="5"/>
      <c r="W37" s="18"/>
      <c r="X37" s="5"/>
      <c r="Y37" s="5"/>
      <c r="Z37" s="5"/>
      <c r="AA37" s="5"/>
      <c r="AB37" s="19"/>
      <c r="AC37" s="5"/>
    </row>
    <row r="38" spans="1:29" ht="13.05" customHeight="1" x14ac:dyDescent="0.3">
      <c r="A38" s="3" t="s">
        <v>694</v>
      </c>
      <c r="B38" s="3" t="s">
        <v>725</v>
      </c>
      <c r="C38" s="3" t="s">
        <v>663</v>
      </c>
      <c r="D38" s="3" t="s">
        <v>663</v>
      </c>
      <c r="E38" s="3" t="s">
        <v>663</v>
      </c>
      <c r="F38" s="3" t="s">
        <v>696</v>
      </c>
      <c r="G38" s="3" t="s">
        <v>726</v>
      </c>
      <c r="H38" s="4" t="s">
        <v>12</v>
      </c>
      <c r="I38" s="6">
        <v>18625.73</v>
      </c>
      <c r="J38" s="6">
        <v>1</v>
      </c>
      <c r="K38" s="6">
        <v>18625.73</v>
      </c>
      <c r="L38" s="6">
        <v>18625.73</v>
      </c>
      <c r="M38" s="6">
        <v>0</v>
      </c>
      <c r="N38" s="6">
        <v>0</v>
      </c>
      <c r="O38" s="6">
        <v>-792.22</v>
      </c>
      <c r="P38" s="6">
        <v>0</v>
      </c>
      <c r="Q38" s="6">
        <v>0</v>
      </c>
      <c r="R38" s="6">
        <v>-627.77</v>
      </c>
      <c r="S38" s="6">
        <v>0</v>
      </c>
      <c r="T38" s="5" t="s">
        <v>726</v>
      </c>
      <c r="U38" s="18" t="s">
        <v>698</v>
      </c>
      <c r="V38" s="5" t="s">
        <v>727</v>
      </c>
      <c r="W38" s="18" t="s">
        <v>463</v>
      </c>
      <c r="X38" s="5" t="s">
        <v>663</v>
      </c>
      <c r="Y38" s="5" t="s">
        <v>726</v>
      </c>
      <c r="Z38" s="5" t="s">
        <v>221</v>
      </c>
      <c r="AA38" s="5"/>
      <c r="AB38" s="19"/>
      <c r="AC38" s="5" t="s">
        <v>693</v>
      </c>
    </row>
    <row r="39" spans="1:29" ht="13.05" customHeight="1" x14ac:dyDescent="0.3">
      <c r="A39" s="3" t="s">
        <v>694</v>
      </c>
      <c r="B39" s="3" t="s">
        <v>728</v>
      </c>
      <c r="C39" s="3" t="s">
        <v>663</v>
      </c>
      <c r="D39" s="3" t="s">
        <v>663</v>
      </c>
      <c r="E39" s="3" t="s">
        <v>663</v>
      </c>
      <c r="F39" s="3" t="s">
        <v>696</v>
      </c>
      <c r="G39" s="3" t="s">
        <v>726</v>
      </c>
      <c r="H39" s="4" t="s">
        <v>216</v>
      </c>
      <c r="I39" s="6">
        <v>-16000</v>
      </c>
      <c r="J39" s="6">
        <v>0.82398000000000005</v>
      </c>
      <c r="K39" s="6">
        <v>-16000</v>
      </c>
      <c r="L39" s="6">
        <v>-19417.95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 t="s">
        <v>726</v>
      </c>
      <c r="U39" s="18" t="s">
        <v>698</v>
      </c>
      <c r="V39" s="5" t="s">
        <v>727</v>
      </c>
      <c r="W39" s="18" t="s">
        <v>463</v>
      </c>
      <c r="X39" s="5" t="s">
        <v>663</v>
      </c>
      <c r="Y39" s="5" t="s">
        <v>726</v>
      </c>
      <c r="Z39" s="5" t="s">
        <v>221</v>
      </c>
      <c r="AA39" s="5"/>
      <c r="AB39" s="19"/>
      <c r="AC39" s="5" t="s">
        <v>692</v>
      </c>
    </row>
    <row r="40" spans="1:29" ht="13.05" customHeight="1" x14ac:dyDescent="0.3">
      <c r="A40" s="10" t="s">
        <v>59</v>
      </c>
      <c r="B40" s="3"/>
      <c r="C40" s="3"/>
      <c r="D40" s="10"/>
      <c r="E40" s="3"/>
      <c r="F40" s="3"/>
      <c r="G40" s="10"/>
      <c r="H40" s="20"/>
      <c r="I40" s="11"/>
      <c r="J40" s="6"/>
      <c r="K40" s="6"/>
      <c r="L40" s="6"/>
      <c r="M40" s="11"/>
      <c r="N40" s="11">
        <v>0</v>
      </c>
      <c r="O40" s="11">
        <v>-792.22</v>
      </c>
      <c r="P40" s="6"/>
      <c r="Q40" s="11">
        <v>0</v>
      </c>
      <c r="R40" s="11">
        <v>-627.77</v>
      </c>
      <c r="S40" s="11">
        <v>0</v>
      </c>
      <c r="T40" s="5"/>
      <c r="U40" s="18"/>
      <c r="V40" s="5"/>
      <c r="W40" s="18"/>
      <c r="X40" s="5"/>
      <c r="Y40" s="5"/>
      <c r="Z40" s="5"/>
      <c r="AA40" s="5"/>
      <c r="AB40" s="19"/>
      <c r="AC40" s="5"/>
    </row>
    <row r="41" spans="1:29" ht="13.05" customHeight="1" x14ac:dyDescent="0.3">
      <c r="A41" s="3" t="s">
        <v>694</v>
      </c>
      <c r="B41" s="3" t="s">
        <v>729</v>
      </c>
      <c r="C41" s="3" t="s">
        <v>663</v>
      </c>
      <c r="D41" s="3" t="s">
        <v>663</v>
      </c>
      <c r="E41" s="3" t="s">
        <v>663</v>
      </c>
      <c r="F41" s="3" t="s">
        <v>696</v>
      </c>
      <c r="G41" s="3" t="s">
        <v>730</v>
      </c>
      <c r="H41" s="4" t="s">
        <v>217</v>
      </c>
      <c r="I41" s="6">
        <v>-4006000</v>
      </c>
      <c r="J41" s="6">
        <v>1.0366500000000001</v>
      </c>
      <c r="K41" s="6">
        <v>-4006000</v>
      </c>
      <c r="L41" s="6">
        <v>-3864370.81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5" t="s">
        <v>730</v>
      </c>
      <c r="U41" s="18" t="s">
        <v>698</v>
      </c>
      <c r="V41" s="5" t="s">
        <v>731</v>
      </c>
      <c r="W41" s="18" t="s">
        <v>463</v>
      </c>
      <c r="X41" s="5" t="s">
        <v>663</v>
      </c>
      <c r="Y41" s="5" t="s">
        <v>730</v>
      </c>
      <c r="Z41" s="5" t="s">
        <v>221</v>
      </c>
      <c r="AA41" s="5"/>
      <c r="AB41" s="19"/>
      <c r="AC41" s="5" t="s">
        <v>692</v>
      </c>
    </row>
    <row r="42" spans="1:29" ht="13.05" customHeight="1" x14ac:dyDescent="0.3">
      <c r="A42" s="3" t="s">
        <v>694</v>
      </c>
      <c r="B42" s="3" t="s">
        <v>732</v>
      </c>
      <c r="C42" s="3" t="s">
        <v>663</v>
      </c>
      <c r="D42" s="3" t="s">
        <v>663</v>
      </c>
      <c r="E42" s="3" t="s">
        <v>663</v>
      </c>
      <c r="F42" s="3" t="s">
        <v>696</v>
      </c>
      <c r="G42" s="3" t="s">
        <v>730</v>
      </c>
      <c r="H42" s="4" t="s">
        <v>12</v>
      </c>
      <c r="I42" s="6">
        <v>3617988.79</v>
      </c>
      <c r="J42" s="6">
        <v>1</v>
      </c>
      <c r="K42" s="6">
        <v>3617988.79</v>
      </c>
      <c r="L42" s="6">
        <v>3617988.79</v>
      </c>
      <c r="M42" s="6">
        <v>0</v>
      </c>
      <c r="N42" s="6">
        <v>0</v>
      </c>
      <c r="O42" s="6">
        <v>-246382.02</v>
      </c>
      <c r="P42" s="6">
        <v>0</v>
      </c>
      <c r="Q42" s="6">
        <v>0</v>
      </c>
      <c r="R42" s="6">
        <v>-167326.43</v>
      </c>
      <c r="S42" s="6">
        <v>0</v>
      </c>
      <c r="T42" s="5" t="s">
        <v>730</v>
      </c>
      <c r="U42" s="18" t="s">
        <v>698</v>
      </c>
      <c r="V42" s="5" t="s">
        <v>731</v>
      </c>
      <c r="W42" s="18" t="s">
        <v>463</v>
      </c>
      <c r="X42" s="5" t="s">
        <v>663</v>
      </c>
      <c r="Y42" s="5" t="s">
        <v>730</v>
      </c>
      <c r="Z42" s="5" t="s">
        <v>221</v>
      </c>
      <c r="AA42" s="5"/>
      <c r="AB42" s="19"/>
      <c r="AC42" s="5" t="s">
        <v>693</v>
      </c>
    </row>
    <row r="43" spans="1:29" ht="13.05" customHeight="1" x14ac:dyDescent="0.3">
      <c r="A43" s="10" t="s">
        <v>59</v>
      </c>
      <c r="B43" s="3"/>
      <c r="C43" s="3"/>
      <c r="D43" s="10"/>
      <c r="E43" s="3"/>
      <c r="F43" s="3"/>
      <c r="G43" s="10"/>
      <c r="H43" s="20"/>
      <c r="I43" s="11"/>
      <c r="J43" s="6"/>
      <c r="K43" s="6"/>
      <c r="L43" s="6"/>
      <c r="M43" s="11"/>
      <c r="N43" s="11">
        <v>0</v>
      </c>
      <c r="O43" s="11">
        <v>-246382.02</v>
      </c>
      <c r="P43" s="6"/>
      <c r="Q43" s="11">
        <v>0</v>
      </c>
      <c r="R43" s="11">
        <v>-167326.43</v>
      </c>
      <c r="S43" s="11">
        <v>0</v>
      </c>
      <c r="T43" s="5"/>
      <c r="U43" s="18"/>
      <c r="V43" s="5"/>
      <c r="W43" s="18"/>
      <c r="X43" s="5"/>
      <c r="Y43" s="5"/>
      <c r="Z43" s="5"/>
      <c r="AA43" s="5"/>
      <c r="AB43" s="19"/>
      <c r="AC43" s="5"/>
    </row>
    <row r="44" spans="1:29" ht="13.05" customHeight="1" x14ac:dyDescent="0.3">
      <c r="A44" s="3" t="s">
        <v>694</v>
      </c>
      <c r="B44" s="3" t="s">
        <v>733</v>
      </c>
      <c r="C44" s="3" t="s">
        <v>663</v>
      </c>
      <c r="D44" s="3" t="s">
        <v>663</v>
      </c>
      <c r="E44" s="3" t="s">
        <v>663</v>
      </c>
      <c r="F44" s="3" t="s">
        <v>696</v>
      </c>
      <c r="G44" s="3" t="s">
        <v>734</v>
      </c>
      <c r="H44" s="4" t="s">
        <v>12</v>
      </c>
      <c r="I44" s="6">
        <v>-27230.799999999999</v>
      </c>
      <c r="J44" s="6">
        <v>1</v>
      </c>
      <c r="K44" s="6">
        <v>-27230.799999999999</v>
      </c>
      <c r="L44" s="6">
        <v>-27230.799999999999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5" t="s">
        <v>734</v>
      </c>
      <c r="U44" s="18" t="s">
        <v>698</v>
      </c>
      <c r="V44" s="5" t="s">
        <v>735</v>
      </c>
      <c r="W44" s="18" t="s">
        <v>463</v>
      </c>
      <c r="X44" s="5" t="s">
        <v>663</v>
      </c>
      <c r="Y44" s="5" t="s">
        <v>734</v>
      </c>
      <c r="Z44" s="5" t="s">
        <v>221</v>
      </c>
      <c r="AA44" s="5"/>
      <c r="AB44" s="19"/>
      <c r="AC44" s="5" t="s">
        <v>692</v>
      </c>
    </row>
    <row r="45" spans="1:29" ht="13.05" customHeight="1" x14ac:dyDescent="0.3">
      <c r="A45" s="3" t="s">
        <v>694</v>
      </c>
      <c r="B45" s="3" t="s">
        <v>736</v>
      </c>
      <c r="C45" s="3" t="s">
        <v>663</v>
      </c>
      <c r="D45" s="3" t="s">
        <v>663</v>
      </c>
      <c r="E45" s="3" t="s">
        <v>663</v>
      </c>
      <c r="F45" s="3" t="s">
        <v>696</v>
      </c>
      <c r="G45" s="3" t="s">
        <v>734</v>
      </c>
      <c r="H45" s="4" t="s">
        <v>217</v>
      </c>
      <c r="I45" s="6">
        <v>30000</v>
      </c>
      <c r="J45" s="6">
        <v>1.0366500000000001</v>
      </c>
      <c r="K45" s="6">
        <v>30000</v>
      </c>
      <c r="L45" s="6">
        <v>28939.37</v>
      </c>
      <c r="M45" s="6">
        <v>0</v>
      </c>
      <c r="N45" s="6">
        <v>0</v>
      </c>
      <c r="O45" s="6">
        <v>1708.57</v>
      </c>
      <c r="P45" s="6">
        <v>0</v>
      </c>
      <c r="Q45" s="6">
        <v>0</v>
      </c>
      <c r="R45" s="6">
        <v>1115.8</v>
      </c>
      <c r="S45" s="6">
        <v>0</v>
      </c>
      <c r="T45" s="5" t="s">
        <v>734</v>
      </c>
      <c r="U45" s="18" t="s">
        <v>698</v>
      </c>
      <c r="V45" s="5" t="s">
        <v>735</v>
      </c>
      <c r="W45" s="18" t="s">
        <v>463</v>
      </c>
      <c r="X45" s="5" t="s">
        <v>663</v>
      </c>
      <c r="Y45" s="5" t="s">
        <v>734</v>
      </c>
      <c r="Z45" s="5" t="s">
        <v>221</v>
      </c>
      <c r="AA45" s="5"/>
      <c r="AB45" s="19"/>
      <c r="AC45" s="5" t="s">
        <v>693</v>
      </c>
    </row>
    <row r="46" spans="1:29" ht="13.05" customHeight="1" x14ac:dyDescent="0.3">
      <c r="A46" s="10" t="s">
        <v>59</v>
      </c>
      <c r="B46" s="3"/>
      <c r="C46" s="3"/>
      <c r="D46" s="10"/>
      <c r="E46" s="3"/>
      <c r="F46" s="3"/>
      <c r="G46" s="10"/>
      <c r="H46" s="20"/>
      <c r="I46" s="11"/>
      <c r="J46" s="6"/>
      <c r="K46" s="6"/>
      <c r="L46" s="6"/>
      <c r="M46" s="11"/>
      <c r="N46" s="11">
        <v>0</v>
      </c>
      <c r="O46" s="11">
        <v>1708.57</v>
      </c>
      <c r="P46" s="6"/>
      <c r="Q46" s="11">
        <v>0</v>
      </c>
      <c r="R46" s="11">
        <v>1115.8</v>
      </c>
      <c r="S46" s="11">
        <v>0</v>
      </c>
      <c r="T46" s="5"/>
      <c r="U46" s="18"/>
      <c r="V46" s="5"/>
      <c r="W46" s="18"/>
      <c r="X46" s="5"/>
      <c r="Y46" s="5"/>
      <c r="Z46" s="5"/>
      <c r="AA46" s="5"/>
      <c r="AB46" s="19"/>
      <c r="AC46" s="5"/>
    </row>
    <row r="47" spans="1:29" ht="13.05" customHeight="1" x14ac:dyDescent="0.3">
      <c r="A47" s="3" t="s">
        <v>694</v>
      </c>
      <c r="B47" s="3" t="s">
        <v>737</v>
      </c>
      <c r="C47" s="3" t="s">
        <v>663</v>
      </c>
      <c r="D47" s="3" t="s">
        <v>663</v>
      </c>
      <c r="E47" s="3" t="s">
        <v>663</v>
      </c>
      <c r="F47" s="3" t="s">
        <v>696</v>
      </c>
      <c r="G47" s="3" t="s">
        <v>738</v>
      </c>
      <c r="H47" s="4" t="s">
        <v>12</v>
      </c>
      <c r="I47" s="6">
        <v>3624093.07</v>
      </c>
      <c r="J47" s="6">
        <v>1</v>
      </c>
      <c r="K47" s="6">
        <v>3624093.07</v>
      </c>
      <c r="L47" s="6">
        <v>3624093.07</v>
      </c>
      <c r="M47" s="6">
        <v>0</v>
      </c>
      <c r="N47" s="6">
        <v>0</v>
      </c>
      <c r="O47" s="6">
        <v>-240277.74</v>
      </c>
      <c r="P47" s="6">
        <v>0</v>
      </c>
      <c r="Q47" s="6">
        <v>0</v>
      </c>
      <c r="R47" s="6">
        <v>-161218.51999999999</v>
      </c>
      <c r="S47" s="6">
        <v>0</v>
      </c>
      <c r="T47" s="5" t="s">
        <v>738</v>
      </c>
      <c r="U47" s="18" t="s">
        <v>698</v>
      </c>
      <c r="V47" s="5" t="s">
        <v>739</v>
      </c>
      <c r="W47" s="18" t="s">
        <v>463</v>
      </c>
      <c r="X47" s="5" t="s">
        <v>663</v>
      </c>
      <c r="Y47" s="5" t="s">
        <v>738</v>
      </c>
      <c r="Z47" s="5" t="s">
        <v>221</v>
      </c>
      <c r="AA47" s="5"/>
      <c r="AB47" s="19"/>
      <c r="AC47" s="5" t="s">
        <v>693</v>
      </c>
    </row>
    <row r="48" spans="1:29" ht="13.05" customHeight="1" x14ac:dyDescent="0.3">
      <c r="A48" s="3" t="s">
        <v>694</v>
      </c>
      <c r="B48" s="3" t="s">
        <v>740</v>
      </c>
      <c r="C48" s="3" t="s">
        <v>663</v>
      </c>
      <c r="D48" s="3" t="s">
        <v>663</v>
      </c>
      <c r="E48" s="3" t="s">
        <v>663</v>
      </c>
      <c r="F48" s="3" t="s">
        <v>696</v>
      </c>
      <c r="G48" s="3" t="s">
        <v>738</v>
      </c>
      <c r="H48" s="4" t="s">
        <v>217</v>
      </c>
      <c r="I48" s="6">
        <v>-4006000</v>
      </c>
      <c r="J48" s="6">
        <v>1.0366500000000001</v>
      </c>
      <c r="K48" s="6">
        <v>-4006000</v>
      </c>
      <c r="L48" s="6">
        <v>-3864370.81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 t="s">
        <v>738</v>
      </c>
      <c r="U48" s="18" t="s">
        <v>698</v>
      </c>
      <c r="V48" s="5" t="s">
        <v>739</v>
      </c>
      <c r="W48" s="18" t="s">
        <v>463</v>
      </c>
      <c r="X48" s="5" t="s">
        <v>663</v>
      </c>
      <c r="Y48" s="5" t="s">
        <v>738</v>
      </c>
      <c r="Z48" s="5" t="s">
        <v>221</v>
      </c>
      <c r="AA48" s="5"/>
      <c r="AB48" s="19"/>
      <c r="AC48" s="5" t="s">
        <v>692</v>
      </c>
    </row>
    <row r="49" spans="1:29" ht="13.05" customHeight="1" x14ac:dyDescent="0.3">
      <c r="A49" s="10" t="s">
        <v>59</v>
      </c>
      <c r="B49" s="3"/>
      <c r="C49" s="3"/>
      <c r="D49" s="10"/>
      <c r="E49" s="3"/>
      <c r="F49" s="3"/>
      <c r="G49" s="10"/>
      <c r="H49" s="20"/>
      <c r="I49" s="11"/>
      <c r="J49" s="6"/>
      <c r="K49" s="6"/>
      <c r="L49" s="6"/>
      <c r="M49" s="11"/>
      <c r="N49" s="11">
        <v>0</v>
      </c>
      <c r="O49" s="11">
        <v>-240277.74</v>
      </c>
      <c r="P49" s="6"/>
      <c r="Q49" s="11">
        <v>0</v>
      </c>
      <c r="R49" s="11">
        <v>-161218.51999999999</v>
      </c>
      <c r="S49" s="11">
        <v>0</v>
      </c>
      <c r="T49" s="5"/>
      <c r="U49" s="18"/>
      <c r="V49" s="5"/>
      <c r="W49" s="18"/>
      <c r="X49" s="5"/>
      <c r="Y49" s="5"/>
      <c r="Z49" s="5"/>
      <c r="AA49" s="5"/>
      <c r="AB49" s="19"/>
      <c r="AC49" s="5"/>
    </row>
    <row r="50" spans="1:29" ht="13.05" customHeight="1" x14ac:dyDescent="0.3">
      <c r="A50" s="3" t="s">
        <v>694</v>
      </c>
      <c r="B50" s="3" t="s">
        <v>741</v>
      </c>
      <c r="C50" s="3" t="s">
        <v>663</v>
      </c>
      <c r="D50" s="3" t="s">
        <v>663</v>
      </c>
      <c r="E50" s="3" t="s">
        <v>663</v>
      </c>
      <c r="F50" s="3" t="s">
        <v>696</v>
      </c>
      <c r="G50" s="3" t="s">
        <v>742</v>
      </c>
      <c r="H50" s="4" t="s">
        <v>12</v>
      </c>
      <c r="I50" s="6">
        <v>-2108250.06</v>
      </c>
      <c r="J50" s="6">
        <v>1</v>
      </c>
      <c r="K50" s="6">
        <v>-2108250.06</v>
      </c>
      <c r="L50" s="6">
        <v>-2108250.06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5" t="s">
        <v>742</v>
      </c>
      <c r="U50" s="18" t="s">
        <v>698</v>
      </c>
      <c r="V50" s="5" t="s">
        <v>743</v>
      </c>
      <c r="W50" s="18" t="s">
        <v>463</v>
      </c>
      <c r="X50" s="5" t="s">
        <v>663</v>
      </c>
      <c r="Y50" s="5" t="s">
        <v>742</v>
      </c>
      <c r="Z50" s="5" t="s">
        <v>221</v>
      </c>
      <c r="AA50" s="5"/>
      <c r="AB50" s="19"/>
      <c r="AC50" s="5" t="s">
        <v>692</v>
      </c>
    </row>
    <row r="51" spans="1:29" ht="13.05" customHeight="1" x14ac:dyDescent="0.3">
      <c r="A51" s="3" t="s">
        <v>694</v>
      </c>
      <c r="B51" s="3" t="s">
        <v>744</v>
      </c>
      <c r="C51" s="3" t="s">
        <v>663</v>
      </c>
      <c r="D51" s="3" t="s">
        <v>663</v>
      </c>
      <c r="E51" s="3" t="s">
        <v>663</v>
      </c>
      <c r="F51" s="3" t="s">
        <v>696</v>
      </c>
      <c r="G51" s="3" t="s">
        <v>742</v>
      </c>
      <c r="H51" s="4" t="s">
        <v>217</v>
      </c>
      <c r="I51" s="6">
        <v>2360000</v>
      </c>
      <c r="J51" s="6">
        <v>1.0366500000000001</v>
      </c>
      <c r="K51" s="6">
        <v>2360000</v>
      </c>
      <c r="L51" s="6">
        <v>2276563.9300000002</v>
      </c>
      <c r="M51" s="6">
        <v>0</v>
      </c>
      <c r="N51" s="6">
        <v>0</v>
      </c>
      <c r="O51" s="6">
        <v>168313.87</v>
      </c>
      <c r="P51" s="6">
        <v>0</v>
      </c>
      <c r="Q51" s="6">
        <v>0</v>
      </c>
      <c r="R51" s="6">
        <v>121682.44</v>
      </c>
      <c r="S51" s="6">
        <v>0</v>
      </c>
      <c r="T51" s="5" t="s">
        <v>742</v>
      </c>
      <c r="U51" s="18" t="s">
        <v>698</v>
      </c>
      <c r="V51" s="5" t="s">
        <v>743</v>
      </c>
      <c r="W51" s="18" t="s">
        <v>463</v>
      </c>
      <c r="X51" s="5" t="s">
        <v>663</v>
      </c>
      <c r="Y51" s="5" t="s">
        <v>742</v>
      </c>
      <c r="Z51" s="5" t="s">
        <v>221</v>
      </c>
      <c r="AA51" s="5"/>
      <c r="AB51" s="19"/>
      <c r="AC51" s="5" t="s">
        <v>693</v>
      </c>
    </row>
    <row r="52" spans="1:29" ht="13.05" customHeight="1" x14ac:dyDescent="0.3">
      <c r="A52" s="10" t="s">
        <v>59</v>
      </c>
      <c r="B52" s="3"/>
      <c r="C52" s="3"/>
      <c r="D52" s="10"/>
      <c r="E52" s="3"/>
      <c r="F52" s="3"/>
      <c r="G52" s="10"/>
      <c r="H52" s="20"/>
      <c r="I52" s="11"/>
      <c r="J52" s="6"/>
      <c r="K52" s="6"/>
      <c r="L52" s="6"/>
      <c r="M52" s="11"/>
      <c r="N52" s="11">
        <v>0</v>
      </c>
      <c r="O52" s="11">
        <v>168313.87</v>
      </c>
      <c r="P52" s="6"/>
      <c r="Q52" s="11">
        <v>0</v>
      </c>
      <c r="R52" s="11">
        <v>121682.44</v>
      </c>
      <c r="S52" s="11">
        <v>0</v>
      </c>
      <c r="T52" s="5"/>
      <c r="U52" s="18"/>
      <c r="V52" s="5"/>
      <c r="W52" s="18"/>
      <c r="X52" s="5"/>
      <c r="Y52" s="5"/>
      <c r="Z52" s="5"/>
      <c r="AA52" s="5"/>
      <c r="AB52" s="19"/>
      <c r="AC52" s="5"/>
    </row>
    <row r="53" spans="1:29" ht="13.05" customHeight="1" x14ac:dyDescent="0.3">
      <c r="A53" s="3" t="s">
        <v>694</v>
      </c>
      <c r="B53" s="3" t="s">
        <v>745</v>
      </c>
      <c r="C53" s="3" t="s">
        <v>663</v>
      </c>
      <c r="D53" s="3" t="s">
        <v>663</v>
      </c>
      <c r="E53" s="3" t="s">
        <v>663</v>
      </c>
      <c r="F53" s="3" t="s">
        <v>696</v>
      </c>
      <c r="G53" s="3" t="s">
        <v>746</v>
      </c>
      <c r="H53" s="4" t="s">
        <v>217</v>
      </c>
      <c r="I53" s="6">
        <v>50000</v>
      </c>
      <c r="J53" s="6">
        <v>1.0366500000000001</v>
      </c>
      <c r="K53" s="6">
        <v>50000</v>
      </c>
      <c r="L53" s="6">
        <v>48232.29</v>
      </c>
      <c r="M53" s="6">
        <v>0</v>
      </c>
      <c r="N53" s="6">
        <v>0</v>
      </c>
      <c r="O53" s="6">
        <v>3177.3</v>
      </c>
      <c r="P53" s="6">
        <v>0</v>
      </c>
      <c r="Q53" s="6">
        <v>0</v>
      </c>
      <c r="R53" s="6">
        <v>2189.34</v>
      </c>
      <c r="S53" s="6">
        <v>0</v>
      </c>
      <c r="T53" s="5" t="s">
        <v>746</v>
      </c>
      <c r="U53" s="18" t="s">
        <v>698</v>
      </c>
      <c r="V53" s="5" t="s">
        <v>747</v>
      </c>
      <c r="W53" s="18" t="s">
        <v>463</v>
      </c>
      <c r="X53" s="5" t="s">
        <v>663</v>
      </c>
      <c r="Y53" s="5" t="s">
        <v>746</v>
      </c>
      <c r="Z53" s="5" t="s">
        <v>221</v>
      </c>
      <c r="AA53" s="5"/>
      <c r="AB53" s="19"/>
      <c r="AC53" s="5" t="s">
        <v>693</v>
      </c>
    </row>
    <row r="54" spans="1:29" ht="13.05" customHeight="1" x14ac:dyDescent="0.3">
      <c r="A54" s="3" t="s">
        <v>694</v>
      </c>
      <c r="B54" s="3" t="s">
        <v>748</v>
      </c>
      <c r="C54" s="3" t="s">
        <v>663</v>
      </c>
      <c r="D54" s="3" t="s">
        <v>663</v>
      </c>
      <c r="E54" s="3" t="s">
        <v>663</v>
      </c>
      <c r="F54" s="3" t="s">
        <v>696</v>
      </c>
      <c r="G54" s="3" t="s">
        <v>746</v>
      </c>
      <c r="H54" s="4" t="s">
        <v>12</v>
      </c>
      <c r="I54" s="6">
        <v>-45054.99</v>
      </c>
      <c r="J54" s="6">
        <v>1</v>
      </c>
      <c r="K54" s="6">
        <v>-45054.99</v>
      </c>
      <c r="L54" s="6">
        <v>-45054.99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5" t="s">
        <v>746</v>
      </c>
      <c r="U54" s="18" t="s">
        <v>698</v>
      </c>
      <c r="V54" s="5" t="s">
        <v>747</v>
      </c>
      <c r="W54" s="18" t="s">
        <v>463</v>
      </c>
      <c r="X54" s="5" t="s">
        <v>663</v>
      </c>
      <c r="Y54" s="5" t="s">
        <v>746</v>
      </c>
      <c r="Z54" s="5" t="s">
        <v>221</v>
      </c>
      <c r="AA54" s="5"/>
      <c r="AB54" s="19"/>
      <c r="AC54" s="5" t="s">
        <v>692</v>
      </c>
    </row>
    <row r="55" spans="1:29" ht="13.05" customHeight="1" x14ac:dyDescent="0.3">
      <c r="A55" s="10" t="s">
        <v>59</v>
      </c>
      <c r="B55" s="3"/>
      <c r="C55" s="3"/>
      <c r="D55" s="10"/>
      <c r="E55" s="3"/>
      <c r="F55" s="3"/>
      <c r="G55" s="10"/>
      <c r="H55" s="20"/>
      <c r="I55" s="11"/>
      <c r="J55" s="6"/>
      <c r="K55" s="6"/>
      <c r="L55" s="6"/>
      <c r="M55" s="11"/>
      <c r="N55" s="11">
        <v>0</v>
      </c>
      <c r="O55" s="11">
        <v>3177.3</v>
      </c>
      <c r="P55" s="6"/>
      <c r="Q55" s="11">
        <v>0</v>
      </c>
      <c r="R55" s="11">
        <v>2189.34</v>
      </c>
      <c r="S55" s="11">
        <v>0</v>
      </c>
      <c r="T55" s="5"/>
      <c r="U55" s="18"/>
      <c r="V55" s="5"/>
      <c r="W55" s="18"/>
      <c r="X55" s="5"/>
      <c r="Y55" s="5"/>
      <c r="Z55" s="5"/>
      <c r="AA55" s="5"/>
      <c r="AB55" s="19"/>
      <c r="AC55" s="5"/>
    </row>
    <row r="56" spans="1:29" ht="13.05" customHeight="1" x14ac:dyDescent="0.3">
      <c r="A56" s="3" t="s">
        <v>694</v>
      </c>
      <c r="B56" s="3" t="s">
        <v>749</v>
      </c>
      <c r="C56" s="3" t="s">
        <v>663</v>
      </c>
      <c r="D56" s="3" t="s">
        <v>663</v>
      </c>
      <c r="E56" s="3" t="s">
        <v>663</v>
      </c>
      <c r="F56" s="3" t="s">
        <v>696</v>
      </c>
      <c r="G56" s="3" t="s">
        <v>750</v>
      </c>
      <c r="H56" s="4" t="s">
        <v>217</v>
      </c>
      <c r="I56" s="6">
        <v>20000</v>
      </c>
      <c r="J56" s="6">
        <v>1.0366500000000001</v>
      </c>
      <c r="K56" s="6">
        <v>20000</v>
      </c>
      <c r="L56" s="6">
        <v>19292.91</v>
      </c>
      <c r="M56" s="6">
        <v>0</v>
      </c>
      <c r="N56" s="6">
        <v>0</v>
      </c>
      <c r="O56" s="6">
        <v>1331.81</v>
      </c>
      <c r="P56" s="6">
        <v>0</v>
      </c>
      <c r="Q56" s="6">
        <v>0</v>
      </c>
      <c r="R56" s="6">
        <v>936.63</v>
      </c>
      <c r="S56" s="6">
        <v>0</v>
      </c>
      <c r="T56" s="5" t="s">
        <v>750</v>
      </c>
      <c r="U56" s="18" t="s">
        <v>698</v>
      </c>
      <c r="V56" s="5" t="s">
        <v>751</v>
      </c>
      <c r="W56" s="18" t="s">
        <v>463</v>
      </c>
      <c r="X56" s="5" t="s">
        <v>663</v>
      </c>
      <c r="Y56" s="5" t="s">
        <v>750</v>
      </c>
      <c r="Z56" s="5" t="s">
        <v>221</v>
      </c>
      <c r="AA56" s="5"/>
      <c r="AB56" s="19"/>
      <c r="AC56" s="5" t="s">
        <v>693</v>
      </c>
    </row>
    <row r="57" spans="1:29" ht="13.05" customHeight="1" x14ac:dyDescent="0.3">
      <c r="A57" s="3" t="s">
        <v>694</v>
      </c>
      <c r="B57" s="3" t="s">
        <v>752</v>
      </c>
      <c r="C57" s="3" t="s">
        <v>663</v>
      </c>
      <c r="D57" s="3" t="s">
        <v>663</v>
      </c>
      <c r="E57" s="3" t="s">
        <v>663</v>
      </c>
      <c r="F57" s="3" t="s">
        <v>696</v>
      </c>
      <c r="G57" s="3" t="s">
        <v>750</v>
      </c>
      <c r="H57" s="4" t="s">
        <v>12</v>
      </c>
      <c r="I57" s="6">
        <v>-17961.099999999999</v>
      </c>
      <c r="J57" s="6">
        <v>1</v>
      </c>
      <c r="K57" s="6">
        <v>-17961.099999999999</v>
      </c>
      <c r="L57" s="6">
        <v>-17961.099999999999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5" t="s">
        <v>750</v>
      </c>
      <c r="U57" s="18" t="s">
        <v>698</v>
      </c>
      <c r="V57" s="5" t="s">
        <v>751</v>
      </c>
      <c r="W57" s="18" t="s">
        <v>463</v>
      </c>
      <c r="X57" s="5" t="s">
        <v>663</v>
      </c>
      <c r="Y57" s="5" t="s">
        <v>750</v>
      </c>
      <c r="Z57" s="5" t="s">
        <v>221</v>
      </c>
      <c r="AA57" s="5"/>
      <c r="AB57" s="19"/>
      <c r="AC57" s="5" t="s">
        <v>692</v>
      </c>
    </row>
    <row r="58" spans="1:29" ht="13.05" customHeight="1" x14ac:dyDescent="0.3">
      <c r="A58" s="10" t="s">
        <v>59</v>
      </c>
      <c r="B58" s="3"/>
      <c r="C58" s="3"/>
      <c r="D58" s="10"/>
      <c r="E58" s="3"/>
      <c r="F58" s="3"/>
      <c r="G58" s="10"/>
      <c r="H58" s="20"/>
      <c r="I58" s="11"/>
      <c r="J58" s="6"/>
      <c r="K58" s="6"/>
      <c r="L58" s="6"/>
      <c r="M58" s="11"/>
      <c r="N58" s="11">
        <v>0</v>
      </c>
      <c r="O58" s="11">
        <v>1331.81</v>
      </c>
      <c r="P58" s="6"/>
      <c r="Q58" s="11">
        <v>0</v>
      </c>
      <c r="R58" s="11">
        <v>936.63</v>
      </c>
      <c r="S58" s="11">
        <v>0</v>
      </c>
      <c r="T58" s="5"/>
      <c r="U58" s="18"/>
      <c r="V58" s="5"/>
      <c r="W58" s="18"/>
      <c r="X58" s="5"/>
      <c r="Y58" s="5"/>
      <c r="Z58" s="5"/>
      <c r="AA58" s="5"/>
      <c r="AB58" s="19"/>
      <c r="AC58" s="5"/>
    </row>
    <row r="59" spans="1:29" ht="13.05" customHeight="1" x14ac:dyDescent="0.3">
      <c r="A59" s="3" t="s">
        <v>694</v>
      </c>
      <c r="B59" s="3" t="s">
        <v>753</v>
      </c>
      <c r="C59" s="3" t="s">
        <v>663</v>
      </c>
      <c r="D59" s="3" t="s">
        <v>663</v>
      </c>
      <c r="E59" s="3" t="s">
        <v>663</v>
      </c>
      <c r="F59" s="3" t="s">
        <v>696</v>
      </c>
      <c r="G59" s="3" t="s">
        <v>754</v>
      </c>
      <c r="H59" s="4" t="s">
        <v>217</v>
      </c>
      <c r="I59" s="6">
        <v>70000</v>
      </c>
      <c r="J59" s="6">
        <v>1.0366500000000001</v>
      </c>
      <c r="K59" s="6">
        <v>70000</v>
      </c>
      <c r="L59" s="6">
        <v>67525.2</v>
      </c>
      <c r="M59" s="6">
        <v>0</v>
      </c>
      <c r="N59" s="6">
        <v>0</v>
      </c>
      <c r="O59" s="6">
        <v>4764.1899999999996</v>
      </c>
      <c r="P59" s="6">
        <v>0</v>
      </c>
      <c r="Q59" s="6">
        <v>0</v>
      </c>
      <c r="R59" s="6">
        <v>3381.06</v>
      </c>
      <c r="S59" s="6">
        <v>0</v>
      </c>
      <c r="T59" s="5" t="s">
        <v>754</v>
      </c>
      <c r="U59" s="18" t="s">
        <v>698</v>
      </c>
      <c r="V59" s="5" t="s">
        <v>755</v>
      </c>
      <c r="W59" s="18" t="s">
        <v>463</v>
      </c>
      <c r="X59" s="5" t="s">
        <v>663</v>
      </c>
      <c r="Y59" s="5" t="s">
        <v>754</v>
      </c>
      <c r="Z59" s="5" t="s">
        <v>221</v>
      </c>
      <c r="AA59" s="5"/>
      <c r="AB59" s="19"/>
      <c r="AC59" s="5" t="s">
        <v>693</v>
      </c>
    </row>
    <row r="60" spans="1:29" ht="13.05" customHeight="1" x14ac:dyDescent="0.3">
      <c r="A60" s="3" t="s">
        <v>694</v>
      </c>
      <c r="B60" s="3" t="s">
        <v>756</v>
      </c>
      <c r="C60" s="3" t="s">
        <v>663</v>
      </c>
      <c r="D60" s="3" t="s">
        <v>663</v>
      </c>
      <c r="E60" s="3" t="s">
        <v>663</v>
      </c>
      <c r="F60" s="3" t="s">
        <v>696</v>
      </c>
      <c r="G60" s="3" t="s">
        <v>754</v>
      </c>
      <c r="H60" s="4" t="s">
        <v>12</v>
      </c>
      <c r="I60" s="6">
        <v>-62761.01</v>
      </c>
      <c r="J60" s="6">
        <v>1</v>
      </c>
      <c r="K60" s="6">
        <v>-62761.01</v>
      </c>
      <c r="L60" s="6">
        <v>-62761.01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5" t="s">
        <v>754</v>
      </c>
      <c r="U60" s="18" t="s">
        <v>698</v>
      </c>
      <c r="V60" s="5" t="s">
        <v>755</v>
      </c>
      <c r="W60" s="18" t="s">
        <v>463</v>
      </c>
      <c r="X60" s="5" t="s">
        <v>663</v>
      </c>
      <c r="Y60" s="5" t="s">
        <v>754</v>
      </c>
      <c r="Z60" s="5" t="s">
        <v>221</v>
      </c>
      <c r="AA60" s="5"/>
      <c r="AB60" s="19"/>
      <c r="AC60" s="5" t="s">
        <v>692</v>
      </c>
    </row>
    <row r="61" spans="1:29" ht="13.05" customHeight="1" x14ac:dyDescent="0.3">
      <c r="A61" s="10" t="s">
        <v>59</v>
      </c>
      <c r="B61" s="3"/>
      <c r="C61" s="3"/>
      <c r="D61" s="10"/>
      <c r="E61" s="3"/>
      <c r="F61" s="3"/>
      <c r="G61" s="10"/>
      <c r="H61" s="20"/>
      <c r="I61" s="11"/>
      <c r="J61" s="6"/>
      <c r="K61" s="6"/>
      <c r="L61" s="6"/>
      <c r="M61" s="11"/>
      <c r="N61" s="11">
        <v>0</v>
      </c>
      <c r="O61" s="11">
        <v>4764.1899999999996</v>
      </c>
      <c r="P61" s="6"/>
      <c r="Q61" s="11">
        <v>0</v>
      </c>
      <c r="R61" s="11">
        <v>3381.06</v>
      </c>
      <c r="S61" s="11">
        <v>0</v>
      </c>
      <c r="T61" s="5"/>
      <c r="U61" s="18"/>
      <c r="V61" s="5"/>
      <c r="W61" s="18"/>
      <c r="X61" s="5"/>
      <c r="Y61" s="5"/>
      <c r="Z61" s="5"/>
      <c r="AA61" s="5"/>
      <c r="AB61" s="19"/>
      <c r="AC61" s="5"/>
    </row>
    <row r="62" spans="1:29" ht="13.05" customHeight="1" x14ac:dyDescent="0.3">
      <c r="A62" s="3" t="s">
        <v>694</v>
      </c>
      <c r="B62" s="3" t="s">
        <v>757</v>
      </c>
      <c r="C62" s="3" t="s">
        <v>663</v>
      </c>
      <c r="D62" s="3" t="s">
        <v>663</v>
      </c>
      <c r="E62" s="3" t="s">
        <v>663</v>
      </c>
      <c r="F62" s="3" t="s">
        <v>696</v>
      </c>
      <c r="G62" s="3" t="s">
        <v>758</v>
      </c>
      <c r="H62" s="4" t="s">
        <v>12</v>
      </c>
      <c r="I62" s="6">
        <v>-9001.4599999999991</v>
      </c>
      <c r="J62" s="6">
        <v>1</v>
      </c>
      <c r="K62" s="6">
        <v>-9001.4599999999991</v>
      </c>
      <c r="L62" s="6">
        <v>-9001.4599999999991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5" t="s">
        <v>758</v>
      </c>
      <c r="U62" s="18" t="s">
        <v>698</v>
      </c>
      <c r="V62" s="5" t="s">
        <v>759</v>
      </c>
      <c r="W62" s="18" t="s">
        <v>463</v>
      </c>
      <c r="X62" s="5" t="s">
        <v>663</v>
      </c>
      <c r="Y62" s="5" t="s">
        <v>758</v>
      </c>
      <c r="Z62" s="5" t="s">
        <v>221</v>
      </c>
      <c r="AA62" s="5"/>
      <c r="AB62" s="19"/>
      <c r="AC62" s="5" t="s">
        <v>692</v>
      </c>
    </row>
    <row r="63" spans="1:29" ht="13.05" customHeight="1" x14ac:dyDescent="0.3">
      <c r="A63" s="3" t="s">
        <v>694</v>
      </c>
      <c r="B63" s="3" t="s">
        <v>760</v>
      </c>
      <c r="C63" s="3" t="s">
        <v>663</v>
      </c>
      <c r="D63" s="3" t="s">
        <v>663</v>
      </c>
      <c r="E63" s="3" t="s">
        <v>663</v>
      </c>
      <c r="F63" s="3" t="s">
        <v>696</v>
      </c>
      <c r="G63" s="3" t="s">
        <v>758</v>
      </c>
      <c r="H63" s="4" t="s">
        <v>217</v>
      </c>
      <c r="I63" s="6">
        <v>10000</v>
      </c>
      <c r="J63" s="6">
        <v>1.0366500000000001</v>
      </c>
      <c r="K63" s="6">
        <v>10000</v>
      </c>
      <c r="L63" s="6">
        <v>9646.4599999999991</v>
      </c>
      <c r="M63" s="6">
        <v>0</v>
      </c>
      <c r="N63" s="6">
        <v>0</v>
      </c>
      <c r="O63" s="6">
        <v>645</v>
      </c>
      <c r="P63" s="6">
        <v>0</v>
      </c>
      <c r="Q63" s="6">
        <v>0</v>
      </c>
      <c r="R63" s="6">
        <v>447.41</v>
      </c>
      <c r="S63" s="6">
        <v>0</v>
      </c>
      <c r="T63" s="5" t="s">
        <v>758</v>
      </c>
      <c r="U63" s="18" t="s">
        <v>698</v>
      </c>
      <c r="V63" s="5" t="s">
        <v>759</v>
      </c>
      <c r="W63" s="18" t="s">
        <v>463</v>
      </c>
      <c r="X63" s="5" t="s">
        <v>663</v>
      </c>
      <c r="Y63" s="5" t="s">
        <v>758</v>
      </c>
      <c r="Z63" s="5" t="s">
        <v>221</v>
      </c>
      <c r="AA63" s="5"/>
      <c r="AB63" s="19"/>
      <c r="AC63" s="5" t="s">
        <v>693</v>
      </c>
    </row>
    <row r="64" spans="1:29" ht="13.05" customHeight="1" x14ac:dyDescent="0.3">
      <c r="A64" s="10" t="s">
        <v>59</v>
      </c>
      <c r="B64" s="3"/>
      <c r="C64" s="3"/>
      <c r="D64" s="10"/>
      <c r="E64" s="3"/>
      <c r="F64" s="3"/>
      <c r="G64" s="10"/>
      <c r="H64" s="20"/>
      <c r="I64" s="11"/>
      <c r="J64" s="6"/>
      <c r="K64" s="6"/>
      <c r="L64" s="6"/>
      <c r="M64" s="11"/>
      <c r="N64" s="11">
        <v>0</v>
      </c>
      <c r="O64" s="11">
        <v>645</v>
      </c>
      <c r="P64" s="6"/>
      <c r="Q64" s="11">
        <v>0</v>
      </c>
      <c r="R64" s="11">
        <v>447.41</v>
      </c>
      <c r="S64" s="11">
        <v>0</v>
      </c>
      <c r="T64" s="5"/>
      <c r="U64" s="18"/>
      <c r="V64" s="5"/>
      <c r="W64" s="18"/>
      <c r="X64" s="5"/>
      <c r="Y64" s="5"/>
      <c r="Z64" s="5"/>
      <c r="AA64" s="5"/>
      <c r="AB64" s="19"/>
      <c r="AC64" s="5"/>
    </row>
    <row r="65" spans="1:29" ht="13.05" customHeight="1" x14ac:dyDescent="0.3">
      <c r="A65" s="3" t="s">
        <v>694</v>
      </c>
      <c r="B65" s="3" t="s">
        <v>761</v>
      </c>
      <c r="C65" s="3" t="s">
        <v>663</v>
      </c>
      <c r="D65" s="3" t="s">
        <v>663</v>
      </c>
      <c r="E65" s="3" t="s">
        <v>663</v>
      </c>
      <c r="F65" s="3" t="s">
        <v>696</v>
      </c>
      <c r="G65" s="3" t="s">
        <v>762</v>
      </c>
      <c r="H65" s="4" t="s">
        <v>12</v>
      </c>
      <c r="I65" s="6">
        <v>-427404.02</v>
      </c>
      <c r="J65" s="6">
        <v>1</v>
      </c>
      <c r="K65" s="6">
        <v>-427404.02</v>
      </c>
      <c r="L65" s="6">
        <v>-427404.02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5" t="s">
        <v>762</v>
      </c>
      <c r="U65" s="18" t="s">
        <v>698</v>
      </c>
      <c r="V65" s="5" t="s">
        <v>763</v>
      </c>
      <c r="W65" s="18" t="s">
        <v>463</v>
      </c>
      <c r="X65" s="5" t="s">
        <v>663</v>
      </c>
      <c r="Y65" s="5" t="s">
        <v>762</v>
      </c>
      <c r="Z65" s="5" t="s">
        <v>221</v>
      </c>
      <c r="AA65" s="5"/>
      <c r="AB65" s="19"/>
      <c r="AC65" s="5" t="s">
        <v>692</v>
      </c>
    </row>
    <row r="66" spans="1:29" ht="13.05" customHeight="1" x14ac:dyDescent="0.3">
      <c r="A66" s="3" t="s">
        <v>694</v>
      </c>
      <c r="B66" s="3" t="s">
        <v>764</v>
      </c>
      <c r="C66" s="3" t="s">
        <v>663</v>
      </c>
      <c r="D66" s="3" t="s">
        <v>663</v>
      </c>
      <c r="E66" s="3" t="s">
        <v>663</v>
      </c>
      <c r="F66" s="3" t="s">
        <v>696</v>
      </c>
      <c r="G66" s="3" t="s">
        <v>762</v>
      </c>
      <c r="H66" s="4" t="s">
        <v>217</v>
      </c>
      <c r="I66" s="6">
        <v>470000</v>
      </c>
      <c r="J66" s="6">
        <v>1.0366500000000001</v>
      </c>
      <c r="K66" s="6">
        <v>470000</v>
      </c>
      <c r="L66" s="6">
        <v>453383.49</v>
      </c>
      <c r="M66" s="6">
        <v>0</v>
      </c>
      <c r="N66" s="6">
        <v>0</v>
      </c>
      <c r="O66" s="6">
        <v>25979.47</v>
      </c>
      <c r="P66" s="6">
        <v>0</v>
      </c>
      <c r="Q66" s="6">
        <v>0</v>
      </c>
      <c r="R66" s="6">
        <v>16692.71</v>
      </c>
      <c r="S66" s="6">
        <v>0</v>
      </c>
      <c r="T66" s="5" t="s">
        <v>762</v>
      </c>
      <c r="U66" s="18" t="s">
        <v>698</v>
      </c>
      <c r="V66" s="5" t="s">
        <v>763</v>
      </c>
      <c r="W66" s="18" t="s">
        <v>463</v>
      </c>
      <c r="X66" s="5" t="s">
        <v>663</v>
      </c>
      <c r="Y66" s="5" t="s">
        <v>762</v>
      </c>
      <c r="Z66" s="5" t="s">
        <v>221</v>
      </c>
      <c r="AA66" s="5"/>
      <c r="AB66" s="19"/>
      <c r="AC66" s="5" t="s">
        <v>693</v>
      </c>
    </row>
    <row r="67" spans="1:29" ht="13.05" customHeight="1" x14ac:dyDescent="0.3">
      <c r="A67" s="10" t="s">
        <v>59</v>
      </c>
      <c r="B67" s="3"/>
      <c r="C67" s="3"/>
      <c r="D67" s="10"/>
      <c r="E67" s="3"/>
      <c r="F67" s="3"/>
      <c r="G67" s="10"/>
      <c r="H67" s="20"/>
      <c r="I67" s="11"/>
      <c r="J67" s="6"/>
      <c r="K67" s="6"/>
      <c r="L67" s="6"/>
      <c r="M67" s="11"/>
      <c r="N67" s="11">
        <v>0</v>
      </c>
      <c r="O67" s="11">
        <v>25979.47</v>
      </c>
      <c r="P67" s="6"/>
      <c r="Q67" s="11">
        <v>0</v>
      </c>
      <c r="R67" s="11">
        <v>16692.71</v>
      </c>
      <c r="S67" s="11">
        <v>0</v>
      </c>
      <c r="T67" s="5"/>
      <c r="U67" s="18"/>
      <c r="V67" s="5"/>
      <c r="W67" s="18"/>
      <c r="X67" s="5"/>
      <c r="Y67" s="5"/>
      <c r="Z67" s="5"/>
      <c r="AA67" s="5"/>
      <c r="AB67" s="19"/>
      <c r="AC67" s="5"/>
    </row>
    <row r="68" spans="1:29" ht="13.05" customHeight="1" x14ac:dyDescent="0.3">
      <c r="A68" s="3" t="s">
        <v>694</v>
      </c>
      <c r="B68" s="3" t="s">
        <v>765</v>
      </c>
      <c r="C68" s="3" t="s">
        <v>663</v>
      </c>
      <c r="D68" s="3" t="s">
        <v>663</v>
      </c>
      <c r="E68" s="3" t="s">
        <v>663</v>
      </c>
      <c r="F68" s="3" t="s">
        <v>696</v>
      </c>
      <c r="G68" s="3" t="s">
        <v>766</v>
      </c>
      <c r="H68" s="4" t="s">
        <v>12</v>
      </c>
      <c r="I68" s="6">
        <v>-45569.26</v>
      </c>
      <c r="J68" s="6">
        <v>1</v>
      </c>
      <c r="K68" s="6">
        <v>-45569.26</v>
      </c>
      <c r="L68" s="6">
        <v>-45569.26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5" t="s">
        <v>766</v>
      </c>
      <c r="U68" s="18" t="s">
        <v>698</v>
      </c>
      <c r="V68" s="5" t="s">
        <v>767</v>
      </c>
      <c r="W68" s="18" t="s">
        <v>463</v>
      </c>
      <c r="X68" s="5" t="s">
        <v>663</v>
      </c>
      <c r="Y68" s="5" t="s">
        <v>766</v>
      </c>
      <c r="Z68" s="5" t="s">
        <v>221</v>
      </c>
      <c r="AA68" s="5"/>
      <c r="AB68" s="19"/>
      <c r="AC68" s="5" t="s">
        <v>692</v>
      </c>
    </row>
    <row r="69" spans="1:29" ht="13.05" customHeight="1" x14ac:dyDescent="0.3">
      <c r="A69" s="3" t="s">
        <v>694</v>
      </c>
      <c r="B69" s="3" t="s">
        <v>768</v>
      </c>
      <c r="C69" s="3" t="s">
        <v>663</v>
      </c>
      <c r="D69" s="3" t="s">
        <v>663</v>
      </c>
      <c r="E69" s="3" t="s">
        <v>663</v>
      </c>
      <c r="F69" s="3" t="s">
        <v>696</v>
      </c>
      <c r="G69" s="3" t="s">
        <v>766</v>
      </c>
      <c r="H69" s="4" t="s">
        <v>217</v>
      </c>
      <c r="I69" s="6">
        <v>50000</v>
      </c>
      <c r="J69" s="6">
        <v>1.0366500000000001</v>
      </c>
      <c r="K69" s="6">
        <v>50000</v>
      </c>
      <c r="L69" s="6">
        <v>48232.29</v>
      </c>
      <c r="M69" s="6">
        <v>0</v>
      </c>
      <c r="N69" s="6">
        <v>0</v>
      </c>
      <c r="O69" s="6">
        <v>2663.03</v>
      </c>
      <c r="P69" s="6">
        <v>0</v>
      </c>
      <c r="Q69" s="6">
        <v>0</v>
      </c>
      <c r="R69" s="6">
        <v>1675.07</v>
      </c>
      <c r="S69" s="6">
        <v>0</v>
      </c>
      <c r="T69" s="5" t="s">
        <v>766</v>
      </c>
      <c r="U69" s="18" t="s">
        <v>698</v>
      </c>
      <c r="V69" s="5" t="s">
        <v>767</v>
      </c>
      <c r="W69" s="18" t="s">
        <v>463</v>
      </c>
      <c r="X69" s="5" t="s">
        <v>663</v>
      </c>
      <c r="Y69" s="5" t="s">
        <v>766</v>
      </c>
      <c r="Z69" s="5" t="s">
        <v>221</v>
      </c>
      <c r="AA69" s="5"/>
      <c r="AB69" s="19"/>
      <c r="AC69" s="5" t="s">
        <v>693</v>
      </c>
    </row>
    <row r="70" spans="1:29" ht="13.05" customHeight="1" x14ac:dyDescent="0.3">
      <c r="A70" s="10" t="s">
        <v>59</v>
      </c>
      <c r="B70" s="3"/>
      <c r="C70" s="3"/>
      <c r="D70" s="10"/>
      <c r="E70" s="3"/>
      <c r="F70" s="3"/>
      <c r="G70" s="10"/>
      <c r="H70" s="20"/>
      <c r="I70" s="11"/>
      <c r="J70" s="6"/>
      <c r="K70" s="6"/>
      <c r="L70" s="6"/>
      <c r="M70" s="11"/>
      <c r="N70" s="11">
        <v>0</v>
      </c>
      <c r="O70" s="11">
        <v>2663.03</v>
      </c>
      <c r="P70" s="6"/>
      <c r="Q70" s="11">
        <v>0</v>
      </c>
      <c r="R70" s="11">
        <v>1675.07</v>
      </c>
      <c r="S70" s="11">
        <v>0</v>
      </c>
      <c r="T70" s="5"/>
      <c r="U70" s="18"/>
      <c r="V70" s="5"/>
      <c r="W70" s="18"/>
      <c r="X70" s="5"/>
      <c r="Y70" s="5"/>
      <c r="Z70" s="5"/>
      <c r="AA70" s="5"/>
      <c r="AB70" s="19"/>
      <c r="AC70" s="5"/>
    </row>
    <row r="71" spans="1:29" ht="13.05" customHeight="1" x14ac:dyDescent="0.3">
      <c r="A71" s="3" t="s">
        <v>694</v>
      </c>
      <c r="B71" s="3" t="s">
        <v>769</v>
      </c>
      <c r="C71" s="3" t="s">
        <v>663</v>
      </c>
      <c r="D71" s="3" t="s">
        <v>663</v>
      </c>
      <c r="E71" s="3" t="s">
        <v>663</v>
      </c>
      <c r="F71" s="3" t="s">
        <v>696</v>
      </c>
      <c r="G71" s="3" t="s">
        <v>770</v>
      </c>
      <c r="H71" s="4" t="s">
        <v>217</v>
      </c>
      <c r="I71" s="6">
        <v>1170000</v>
      </c>
      <c r="J71" s="6">
        <v>1.0366500000000001</v>
      </c>
      <c r="K71" s="6">
        <v>1170000</v>
      </c>
      <c r="L71" s="6">
        <v>1128635.51</v>
      </c>
      <c r="M71" s="6">
        <v>0</v>
      </c>
      <c r="N71" s="6">
        <v>0</v>
      </c>
      <c r="O71" s="6">
        <v>47869.599999999999</v>
      </c>
      <c r="P71" s="6">
        <v>0</v>
      </c>
      <c r="Q71" s="6">
        <v>0</v>
      </c>
      <c r="R71" s="6">
        <v>24751.47</v>
      </c>
      <c r="S71" s="6">
        <v>0</v>
      </c>
      <c r="T71" s="5" t="s">
        <v>770</v>
      </c>
      <c r="U71" s="18" t="s">
        <v>698</v>
      </c>
      <c r="V71" s="5" t="s">
        <v>771</v>
      </c>
      <c r="W71" s="18" t="s">
        <v>463</v>
      </c>
      <c r="X71" s="5" t="s">
        <v>663</v>
      </c>
      <c r="Y71" s="5" t="s">
        <v>770</v>
      </c>
      <c r="Z71" s="5" t="s">
        <v>221</v>
      </c>
      <c r="AA71" s="5"/>
      <c r="AB71" s="19"/>
      <c r="AC71" s="5" t="s">
        <v>693</v>
      </c>
    </row>
    <row r="72" spans="1:29" ht="13.05" customHeight="1" x14ac:dyDescent="0.3">
      <c r="A72" s="3" t="s">
        <v>694</v>
      </c>
      <c r="B72" s="3" t="s">
        <v>772</v>
      </c>
      <c r="C72" s="3" t="s">
        <v>663</v>
      </c>
      <c r="D72" s="3" t="s">
        <v>663</v>
      </c>
      <c r="E72" s="3" t="s">
        <v>663</v>
      </c>
      <c r="F72" s="3" t="s">
        <v>696</v>
      </c>
      <c r="G72" s="3" t="s">
        <v>770</v>
      </c>
      <c r="H72" s="4" t="s">
        <v>12</v>
      </c>
      <c r="I72" s="6">
        <v>-1080765.9099999999</v>
      </c>
      <c r="J72" s="6">
        <v>1</v>
      </c>
      <c r="K72" s="6">
        <v>-1080765.9099999999</v>
      </c>
      <c r="L72" s="6">
        <v>-1080765.9099999999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5" t="s">
        <v>770</v>
      </c>
      <c r="U72" s="18" t="s">
        <v>698</v>
      </c>
      <c r="V72" s="5" t="s">
        <v>771</v>
      </c>
      <c r="W72" s="18" t="s">
        <v>463</v>
      </c>
      <c r="X72" s="5" t="s">
        <v>663</v>
      </c>
      <c r="Y72" s="5" t="s">
        <v>770</v>
      </c>
      <c r="Z72" s="5" t="s">
        <v>221</v>
      </c>
      <c r="AA72" s="5"/>
      <c r="AB72" s="19"/>
      <c r="AC72" s="5" t="s">
        <v>692</v>
      </c>
    </row>
    <row r="73" spans="1:29" ht="13.05" customHeight="1" x14ac:dyDescent="0.3">
      <c r="A73" s="10" t="s">
        <v>59</v>
      </c>
      <c r="B73" s="3"/>
      <c r="C73" s="3"/>
      <c r="D73" s="10"/>
      <c r="E73" s="3"/>
      <c r="F73" s="3"/>
      <c r="G73" s="10"/>
      <c r="H73" s="20"/>
      <c r="I73" s="11"/>
      <c r="J73" s="6"/>
      <c r="K73" s="6"/>
      <c r="L73" s="6"/>
      <c r="M73" s="11"/>
      <c r="N73" s="11">
        <v>0</v>
      </c>
      <c r="O73" s="11">
        <v>47869.599999999999</v>
      </c>
      <c r="P73" s="6"/>
      <c r="Q73" s="11">
        <v>0</v>
      </c>
      <c r="R73" s="11">
        <v>24751.47</v>
      </c>
      <c r="S73" s="11">
        <v>0</v>
      </c>
      <c r="T73" s="5"/>
      <c r="U73" s="18"/>
      <c r="V73" s="5"/>
      <c r="W73" s="18"/>
      <c r="X73" s="5"/>
      <c r="Y73" s="5"/>
      <c r="Z73" s="5"/>
      <c r="AA73" s="5"/>
      <c r="AB73" s="19"/>
      <c r="AC73" s="5"/>
    </row>
    <row r="74" spans="1:29" ht="13.05" customHeight="1" x14ac:dyDescent="0.3">
      <c r="A74" s="3" t="s">
        <v>694</v>
      </c>
      <c r="B74" s="3" t="s">
        <v>773</v>
      </c>
      <c r="C74" s="3" t="s">
        <v>663</v>
      </c>
      <c r="D74" s="3" t="s">
        <v>663</v>
      </c>
      <c r="E74" s="3" t="s">
        <v>663</v>
      </c>
      <c r="F74" s="3" t="s">
        <v>696</v>
      </c>
      <c r="G74" s="3" t="s">
        <v>774</v>
      </c>
      <c r="H74" s="4" t="s">
        <v>12</v>
      </c>
      <c r="I74" s="6">
        <v>581996.25</v>
      </c>
      <c r="J74" s="6">
        <v>1</v>
      </c>
      <c r="K74" s="6">
        <v>581996.25</v>
      </c>
      <c r="L74" s="6">
        <v>581996.25</v>
      </c>
      <c r="M74" s="6">
        <v>0</v>
      </c>
      <c r="N74" s="6">
        <v>0</v>
      </c>
      <c r="O74" s="6">
        <v>-25730.560000000001</v>
      </c>
      <c r="P74" s="6">
        <v>0</v>
      </c>
      <c r="Q74" s="6">
        <v>0</v>
      </c>
      <c r="R74" s="6">
        <v>-13290.22</v>
      </c>
      <c r="S74" s="6">
        <v>0</v>
      </c>
      <c r="T74" s="5" t="s">
        <v>774</v>
      </c>
      <c r="U74" s="18" t="s">
        <v>698</v>
      </c>
      <c r="V74" s="5" t="s">
        <v>775</v>
      </c>
      <c r="W74" s="18" t="s">
        <v>463</v>
      </c>
      <c r="X74" s="5" t="s">
        <v>663</v>
      </c>
      <c r="Y74" s="5" t="s">
        <v>774</v>
      </c>
      <c r="Z74" s="5" t="s">
        <v>221</v>
      </c>
      <c r="AA74" s="5"/>
      <c r="AB74" s="19"/>
      <c r="AC74" s="5" t="s">
        <v>693</v>
      </c>
    </row>
    <row r="75" spans="1:29" ht="13.05" customHeight="1" x14ac:dyDescent="0.3">
      <c r="A75" s="3" t="s">
        <v>694</v>
      </c>
      <c r="B75" s="3" t="s">
        <v>776</v>
      </c>
      <c r="C75" s="3" t="s">
        <v>663</v>
      </c>
      <c r="D75" s="3" t="s">
        <v>663</v>
      </c>
      <c r="E75" s="3" t="s">
        <v>663</v>
      </c>
      <c r="F75" s="3" t="s">
        <v>696</v>
      </c>
      <c r="G75" s="3" t="s">
        <v>774</v>
      </c>
      <c r="H75" s="4" t="s">
        <v>217</v>
      </c>
      <c r="I75" s="6">
        <v>-630000</v>
      </c>
      <c r="J75" s="6">
        <v>1.0366500000000001</v>
      </c>
      <c r="K75" s="6">
        <v>-630000</v>
      </c>
      <c r="L75" s="6">
        <v>-607726.81000000006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5" t="s">
        <v>774</v>
      </c>
      <c r="U75" s="18" t="s">
        <v>698</v>
      </c>
      <c r="V75" s="5" t="s">
        <v>775</v>
      </c>
      <c r="W75" s="18" t="s">
        <v>463</v>
      </c>
      <c r="X75" s="5" t="s">
        <v>663</v>
      </c>
      <c r="Y75" s="5" t="s">
        <v>774</v>
      </c>
      <c r="Z75" s="5" t="s">
        <v>221</v>
      </c>
      <c r="AA75" s="5"/>
      <c r="AB75" s="19"/>
      <c r="AC75" s="5" t="s">
        <v>692</v>
      </c>
    </row>
    <row r="76" spans="1:29" ht="13.05" customHeight="1" x14ac:dyDescent="0.3">
      <c r="A76" s="10" t="s">
        <v>59</v>
      </c>
      <c r="B76" s="3"/>
      <c r="C76" s="3"/>
      <c r="D76" s="10"/>
      <c r="E76" s="3"/>
      <c r="F76" s="3"/>
      <c r="G76" s="10"/>
      <c r="H76" s="20"/>
      <c r="I76" s="11"/>
      <c r="J76" s="6"/>
      <c r="K76" s="6"/>
      <c r="L76" s="6"/>
      <c r="M76" s="11"/>
      <c r="N76" s="11">
        <v>0</v>
      </c>
      <c r="O76" s="11">
        <v>-25730.560000000001</v>
      </c>
      <c r="P76" s="6"/>
      <c r="Q76" s="11">
        <v>0</v>
      </c>
      <c r="R76" s="11">
        <v>-13290.22</v>
      </c>
      <c r="S76" s="11">
        <v>0</v>
      </c>
      <c r="T76" s="5"/>
      <c r="U76" s="18"/>
      <c r="V76" s="5"/>
      <c r="W76" s="18"/>
      <c r="X76" s="5"/>
      <c r="Y76" s="5"/>
      <c r="Z76" s="5"/>
      <c r="AA76" s="5"/>
      <c r="AB76" s="19"/>
      <c r="AC76" s="5"/>
    </row>
    <row r="77" spans="1:29" ht="13.05" customHeight="1" x14ac:dyDescent="0.3">
      <c r="A77" s="3" t="s">
        <v>694</v>
      </c>
      <c r="B77" s="3" t="s">
        <v>777</v>
      </c>
      <c r="C77" s="3" t="s">
        <v>663</v>
      </c>
      <c r="D77" s="3" t="s">
        <v>663</v>
      </c>
      <c r="E77" s="3" t="s">
        <v>663</v>
      </c>
      <c r="F77" s="3" t="s">
        <v>696</v>
      </c>
      <c r="G77" s="3" t="s">
        <v>778</v>
      </c>
      <c r="H77" s="4" t="s">
        <v>12</v>
      </c>
      <c r="I77" s="6">
        <v>-3262512.18</v>
      </c>
      <c r="J77" s="6">
        <v>1</v>
      </c>
      <c r="K77" s="6">
        <v>-3262512.18</v>
      </c>
      <c r="L77" s="6">
        <v>-3262512.18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 t="s">
        <v>778</v>
      </c>
      <c r="U77" s="18" t="s">
        <v>698</v>
      </c>
      <c r="V77" s="5" t="s">
        <v>779</v>
      </c>
      <c r="W77" s="18" t="s">
        <v>463</v>
      </c>
      <c r="X77" s="5" t="s">
        <v>663</v>
      </c>
      <c r="Y77" s="5" t="s">
        <v>778</v>
      </c>
      <c r="Z77" s="5" t="s">
        <v>221</v>
      </c>
      <c r="AA77" s="5"/>
      <c r="AB77" s="19"/>
      <c r="AC77" s="5" t="s">
        <v>692</v>
      </c>
    </row>
    <row r="78" spans="1:29" ht="13.05" customHeight="1" x14ac:dyDescent="0.3">
      <c r="A78" s="3" t="s">
        <v>694</v>
      </c>
      <c r="B78" s="3" t="s">
        <v>780</v>
      </c>
      <c r="C78" s="3" t="s">
        <v>663</v>
      </c>
      <c r="D78" s="3" t="s">
        <v>663</v>
      </c>
      <c r="E78" s="3" t="s">
        <v>663</v>
      </c>
      <c r="F78" s="3" t="s">
        <v>696</v>
      </c>
      <c r="G78" s="3" t="s">
        <v>778</v>
      </c>
      <c r="H78" s="4" t="s">
        <v>217</v>
      </c>
      <c r="I78" s="6">
        <v>3550500</v>
      </c>
      <c r="J78" s="6">
        <v>1.0366500000000001</v>
      </c>
      <c r="K78" s="6">
        <v>3550500</v>
      </c>
      <c r="L78" s="6">
        <v>3424974.68</v>
      </c>
      <c r="M78" s="6">
        <v>0</v>
      </c>
      <c r="N78" s="6">
        <v>0</v>
      </c>
      <c r="O78" s="6">
        <v>162462.5</v>
      </c>
      <c r="P78" s="6">
        <v>0</v>
      </c>
      <c r="Q78" s="6">
        <v>0</v>
      </c>
      <c r="R78" s="6">
        <v>92307.88</v>
      </c>
      <c r="S78" s="6">
        <v>0</v>
      </c>
      <c r="T78" s="5" t="s">
        <v>778</v>
      </c>
      <c r="U78" s="18" t="s">
        <v>698</v>
      </c>
      <c r="V78" s="5" t="s">
        <v>779</v>
      </c>
      <c r="W78" s="18" t="s">
        <v>463</v>
      </c>
      <c r="X78" s="5" t="s">
        <v>663</v>
      </c>
      <c r="Y78" s="5" t="s">
        <v>778</v>
      </c>
      <c r="Z78" s="5" t="s">
        <v>221</v>
      </c>
      <c r="AA78" s="5"/>
      <c r="AB78" s="19"/>
      <c r="AC78" s="5" t="s">
        <v>693</v>
      </c>
    </row>
    <row r="79" spans="1:29" ht="13.05" customHeight="1" x14ac:dyDescent="0.3">
      <c r="A79" s="10" t="s">
        <v>59</v>
      </c>
      <c r="B79" s="3"/>
      <c r="C79" s="3"/>
      <c r="D79" s="10"/>
      <c r="E79" s="3"/>
      <c r="F79" s="3"/>
      <c r="G79" s="10"/>
      <c r="H79" s="20"/>
      <c r="I79" s="11"/>
      <c r="J79" s="6"/>
      <c r="K79" s="6"/>
      <c r="L79" s="6"/>
      <c r="M79" s="11"/>
      <c r="N79" s="11">
        <v>0</v>
      </c>
      <c r="O79" s="11">
        <v>162462.5</v>
      </c>
      <c r="P79" s="6"/>
      <c r="Q79" s="11">
        <v>0</v>
      </c>
      <c r="R79" s="11">
        <v>92307.88</v>
      </c>
      <c r="S79" s="11">
        <v>0</v>
      </c>
      <c r="T79" s="5"/>
      <c r="U79" s="18"/>
      <c r="V79" s="5"/>
      <c r="W79" s="18"/>
      <c r="X79" s="5"/>
      <c r="Y79" s="5"/>
      <c r="Z79" s="5"/>
      <c r="AA79" s="5"/>
      <c r="AB79" s="19"/>
      <c r="AC79" s="5"/>
    </row>
    <row r="80" spans="1:29" ht="13.05" customHeight="1" x14ac:dyDescent="0.3">
      <c r="A80" s="3" t="s">
        <v>694</v>
      </c>
      <c r="B80" s="3" t="s">
        <v>781</v>
      </c>
      <c r="C80" s="3" t="s">
        <v>663</v>
      </c>
      <c r="D80" s="3" t="s">
        <v>663</v>
      </c>
      <c r="E80" s="3" t="s">
        <v>663</v>
      </c>
      <c r="F80" s="3" t="s">
        <v>696</v>
      </c>
      <c r="G80" s="3" t="s">
        <v>782</v>
      </c>
      <c r="H80" s="4" t="s">
        <v>12</v>
      </c>
      <c r="I80" s="6">
        <v>-3248190.88</v>
      </c>
      <c r="J80" s="6">
        <v>1</v>
      </c>
      <c r="K80" s="6">
        <v>-3248190.88</v>
      </c>
      <c r="L80" s="6">
        <v>-3248190.88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5" t="s">
        <v>782</v>
      </c>
      <c r="U80" s="18" t="s">
        <v>698</v>
      </c>
      <c r="V80" s="5" t="s">
        <v>783</v>
      </c>
      <c r="W80" s="18" t="s">
        <v>463</v>
      </c>
      <c r="X80" s="5" t="s">
        <v>663</v>
      </c>
      <c r="Y80" s="5" t="s">
        <v>782</v>
      </c>
      <c r="Z80" s="5" t="s">
        <v>221</v>
      </c>
      <c r="AA80" s="5"/>
      <c r="AB80" s="19"/>
      <c r="AC80" s="5" t="s">
        <v>692</v>
      </c>
    </row>
    <row r="81" spans="1:29" ht="13.05" customHeight="1" x14ac:dyDescent="0.3">
      <c r="A81" s="3" t="s">
        <v>694</v>
      </c>
      <c r="B81" s="3" t="s">
        <v>784</v>
      </c>
      <c r="C81" s="3" t="s">
        <v>663</v>
      </c>
      <c r="D81" s="3" t="s">
        <v>663</v>
      </c>
      <c r="E81" s="3" t="s">
        <v>663</v>
      </c>
      <c r="F81" s="3" t="s">
        <v>696</v>
      </c>
      <c r="G81" s="3" t="s">
        <v>782</v>
      </c>
      <c r="H81" s="4" t="s">
        <v>217</v>
      </c>
      <c r="I81" s="6">
        <v>3550500</v>
      </c>
      <c r="J81" s="6">
        <v>1.0366500000000001</v>
      </c>
      <c r="K81" s="6">
        <v>3550500</v>
      </c>
      <c r="L81" s="6">
        <v>3424974.68</v>
      </c>
      <c r="M81" s="6">
        <v>0</v>
      </c>
      <c r="N81" s="6">
        <v>0</v>
      </c>
      <c r="O81" s="6">
        <v>176783.8</v>
      </c>
      <c r="P81" s="6">
        <v>0</v>
      </c>
      <c r="Q81" s="6">
        <v>0</v>
      </c>
      <c r="R81" s="6">
        <v>106629.18</v>
      </c>
      <c r="S81" s="6">
        <v>0</v>
      </c>
      <c r="T81" s="5" t="s">
        <v>782</v>
      </c>
      <c r="U81" s="18" t="s">
        <v>698</v>
      </c>
      <c r="V81" s="5" t="s">
        <v>783</v>
      </c>
      <c r="W81" s="18" t="s">
        <v>463</v>
      </c>
      <c r="X81" s="5" t="s">
        <v>663</v>
      </c>
      <c r="Y81" s="5" t="s">
        <v>782</v>
      </c>
      <c r="Z81" s="5" t="s">
        <v>221</v>
      </c>
      <c r="AA81" s="5"/>
      <c r="AB81" s="19"/>
      <c r="AC81" s="5" t="s">
        <v>693</v>
      </c>
    </row>
    <row r="82" spans="1:29" ht="13.05" customHeight="1" x14ac:dyDescent="0.3">
      <c r="A82" s="10" t="s">
        <v>59</v>
      </c>
      <c r="B82" s="3"/>
      <c r="C82" s="3"/>
      <c r="D82" s="10"/>
      <c r="E82" s="3"/>
      <c r="F82" s="3"/>
      <c r="G82" s="10"/>
      <c r="H82" s="20"/>
      <c r="I82" s="11"/>
      <c r="J82" s="6"/>
      <c r="K82" s="6"/>
      <c r="L82" s="6"/>
      <c r="M82" s="11"/>
      <c r="N82" s="11">
        <v>0</v>
      </c>
      <c r="O82" s="11">
        <v>176783.8</v>
      </c>
      <c r="P82" s="6"/>
      <c r="Q82" s="11">
        <v>0</v>
      </c>
      <c r="R82" s="11">
        <v>106629.18</v>
      </c>
      <c r="S82" s="11">
        <v>0</v>
      </c>
      <c r="T82" s="5"/>
      <c r="U82" s="18"/>
      <c r="V82" s="5"/>
      <c r="W82" s="18"/>
      <c r="X82" s="5"/>
      <c r="Y82" s="5"/>
      <c r="Z82" s="5"/>
      <c r="AA82" s="5"/>
      <c r="AB82" s="19"/>
      <c r="AC82" s="5"/>
    </row>
    <row r="83" spans="1:29" ht="13.05" customHeight="1" x14ac:dyDescent="0.3">
      <c r="A83" s="3" t="s">
        <v>694</v>
      </c>
      <c r="B83" s="3" t="s">
        <v>785</v>
      </c>
      <c r="C83" s="3" t="s">
        <v>663</v>
      </c>
      <c r="D83" s="3" t="s">
        <v>663</v>
      </c>
      <c r="E83" s="3" t="s">
        <v>663</v>
      </c>
      <c r="F83" s="3" t="s">
        <v>696</v>
      </c>
      <c r="G83" s="3" t="s">
        <v>786</v>
      </c>
      <c r="H83" s="4" t="s">
        <v>217</v>
      </c>
      <c r="I83" s="6">
        <v>3550500</v>
      </c>
      <c r="J83" s="6">
        <v>1.0366500000000001</v>
      </c>
      <c r="K83" s="6">
        <v>3550500</v>
      </c>
      <c r="L83" s="6">
        <v>3424974.68</v>
      </c>
      <c r="M83" s="6">
        <v>0</v>
      </c>
      <c r="N83" s="6">
        <v>0</v>
      </c>
      <c r="O83" s="6">
        <v>170898.56</v>
      </c>
      <c r="P83" s="6">
        <v>0</v>
      </c>
      <c r="Q83" s="6">
        <v>0</v>
      </c>
      <c r="R83" s="6">
        <v>100743.94</v>
      </c>
      <c r="S83" s="6">
        <v>0</v>
      </c>
      <c r="T83" s="5" t="s">
        <v>786</v>
      </c>
      <c r="U83" s="18" t="s">
        <v>698</v>
      </c>
      <c r="V83" s="5" t="s">
        <v>787</v>
      </c>
      <c r="W83" s="18" t="s">
        <v>463</v>
      </c>
      <c r="X83" s="5" t="s">
        <v>663</v>
      </c>
      <c r="Y83" s="5" t="s">
        <v>786</v>
      </c>
      <c r="Z83" s="5" t="s">
        <v>221</v>
      </c>
      <c r="AA83" s="5"/>
      <c r="AB83" s="19"/>
      <c r="AC83" s="5" t="s">
        <v>693</v>
      </c>
    </row>
    <row r="84" spans="1:29" ht="13.05" customHeight="1" x14ac:dyDescent="0.3">
      <c r="A84" s="3" t="s">
        <v>694</v>
      </c>
      <c r="B84" s="3" t="s">
        <v>788</v>
      </c>
      <c r="C84" s="3" t="s">
        <v>663</v>
      </c>
      <c r="D84" s="3" t="s">
        <v>663</v>
      </c>
      <c r="E84" s="3" t="s">
        <v>663</v>
      </c>
      <c r="F84" s="3" t="s">
        <v>696</v>
      </c>
      <c r="G84" s="3" t="s">
        <v>786</v>
      </c>
      <c r="H84" s="4" t="s">
        <v>12</v>
      </c>
      <c r="I84" s="6">
        <v>-3254076.12</v>
      </c>
      <c r="J84" s="6">
        <v>1</v>
      </c>
      <c r="K84" s="6">
        <v>-3254076.12</v>
      </c>
      <c r="L84" s="6">
        <v>-3254076.12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 t="s">
        <v>786</v>
      </c>
      <c r="U84" s="18" t="s">
        <v>698</v>
      </c>
      <c r="V84" s="5" t="s">
        <v>787</v>
      </c>
      <c r="W84" s="18" t="s">
        <v>463</v>
      </c>
      <c r="X84" s="5" t="s">
        <v>663</v>
      </c>
      <c r="Y84" s="5" t="s">
        <v>786</v>
      </c>
      <c r="Z84" s="5" t="s">
        <v>221</v>
      </c>
      <c r="AA84" s="5"/>
      <c r="AB84" s="19"/>
      <c r="AC84" s="5" t="s">
        <v>692</v>
      </c>
    </row>
    <row r="85" spans="1:29" ht="13.05" customHeight="1" x14ac:dyDescent="0.3">
      <c r="A85" s="10" t="s">
        <v>59</v>
      </c>
      <c r="B85" s="3"/>
      <c r="C85" s="3"/>
      <c r="D85" s="10"/>
      <c r="E85" s="3"/>
      <c r="F85" s="3"/>
      <c r="G85" s="10"/>
      <c r="H85" s="20"/>
      <c r="I85" s="11"/>
      <c r="J85" s="6"/>
      <c r="K85" s="6"/>
      <c r="L85" s="6"/>
      <c r="M85" s="11"/>
      <c r="N85" s="11">
        <v>0</v>
      </c>
      <c r="O85" s="11">
        <v>170898.56</v>
      </c>
      <c r="P85" s="6"/>
      <c r="Q85" s="11">
        <v>0</v>
      </c>
      <c r="R85" s="11">
        <v>100743.94</v>
      </c>
      <c r="S85" s="11">
        <v>0</v>
      </c>
      <c r="T85" s="5"/>
      <c r="U85" s="18"/>
      <c r="V85" s="5"/>
      <c r="W85" s="18"/>
      <c r="X85" s="5"/>
      <c r="Y85" s="5"/>
      <c r="Z85" s="5"/>
      <c r="AA85" s="5"/>
      <c r="AB85" s="19"/>
      <c r="AC85" s="5"/>
    </row>
    <row r="86" spans="1:29" ht="13.05" customHeight="1" x14ac:dyDescent="0.3">
      <c r="A86" s="3" t="s">
        <v>694</v>
      </c>
      <c r="B86" s="3" t="s">
        <v>789</v>
      </c>
      <c r="C86" s="3" t="s">
        <v>663</v>
      </c>
      <c r="D86" s="3" t="s">
        <v>663</v>
      </c>
      <c r="E86" s="3" t="s">
        <v>663</v>
      </c>
      <c r="F86" s="3" t="s">
        <v>696</v>
      </c>
      <c r="G86" s="3" t="s">
        <v>790</v>
      </c>
      <c r="H86" s="4" t="s">
        <v>217</v>
      </c>
      <c r="I86" s="6">
        <v>3550500</v>
      </c>
      <c r="J86" s="6">
        <v>1.0366500000000001</v>
      </c>
      <c r="K86" s="6">
        <v>3550500</v>
      </c>
      <c r="L86" s="6">
        <v>3424974.68</v>
      </c>
      <c r="M86" s="6">
        <v>0</v>
      </c>
      <c r="N86" s="6">
        <v>0</v>
      </c>
      <c r="O86" s="6">
        <v>116946.53</v>
      </c>
      <c r="P86" s="6">
        <v>0</v>
      </c>
      <c r="Q86" s="6">
        <v>0</v>
      </c>
      <c r="R86" s="6">
        <v>46791.91</v>
      </c>
      <c r="S86" s="6">
        <v>0</v>
      </c>
      <c r="T86" s="5" t="s">
        <v>790</v>
      </c>
      <c r="U86" s="18" t="s">
        <v>698</v>
      </c>
      <c r="V86" s="5" t="s">
        <v>791</v>
      </c>
      <c r="W86" s="18" t="s">
        <v>463</v>
      </c>
      <c r="X86" s="5" t="s">
        <v>663</v>
      </c>
      <c r="Y86" s="5" t="s">
        <v>790</v>
      </c>
      <c r="Z86" s="5" t="s">
        <v>221</v>
      </c>
      <c r="AA86" s="5"/>
      <c r="AB86" s="19"/>
      <c r="AC86" s="5" t="s">
        <v>693</v>
      </c>
    </row>
    <row r="87" spans="1:29" ht="13.05" customHeight="1" x14ac:dyDescent="0.3">
      <c r="A87" s="3" t="s">
        <v>694</v>
      </c>
      <c r="B87" s="3" t="s">
        <v>792</v>
      </c>
      <c r="C87" s="3" t="s">
        <v>663</v>
      </c>
      <c r="D87" s="3" t="s">
        <v>663</v>
      </c>
      <c r="E87" s="3" t="s">
        <v>663</v>
      </c>
      <c r="F87" s="3" t="s">
        <v>696</v>
      </c>
      <c r="G87" s="3" t="s">
        <v>790</v>
      </c>
      <c r="H87" s="4" t="s">
        <v>12</v>
      </c>
      <c r="I87" s="6">
        <v>-3308028.15</v>
      </c>
      <c r="J87" s="6">
        <v>1</v>
      </c>
      <c r="K87" s="6">
        <v>-3308028.15</v>
      </c>
      <c r="L87" s="6">
        <v>-3308028.15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 t="s">
        <v>790</v>
      </c>
      <c r="U87" s="18" t="s">
        <v>698</v>
      </c>
      <c r="V87" s="5" t="s">
        <v>791</v>
      </c>
      <c r="W87" s="18" t="s">
        <v>463</v>
      </c>
      <c r="X87" s="5" t="s">
        <v>663</v>
      </c>
      <c r="Y87" s="5" t="s">
        <v>790</v>
      </c>
      <c r="Z87" s="5" t="s">
        <v>221</v>
      </c>
      <c r="AA87" s="5"/>
      <c r="AB87" s="19"/>
      <c r="AC87" s="5" t="s">
        <v>692</v>
      </c>
    </row>
    <row r="88" spans="1:29" ht="13.05" customHeight="1" x14ac:dyDescent="0.3">
      <c r="A88" s="10" t="s">
        <v>59</v>
      </c>
      <c r="B88" s="3"/>
      <c r="C88" s="3"/>
      <c r="D88" s="10"/>
      <c r="E88" s="3"/>
      <c r="F88" s="3"/>
      <c r="G88" s="10"/>
      <c r="H88" s="20"/>
      <c r="I88" s="11"/>
      <c r="J88" s="6"/>
      <c r="K88" s="6"/>
      <c r="L88" s="6"/>
      <c r="M88" s="11"/>
      <c r="N88" s="11">
        <v>0</v>
      </c>
      <c r="O88" s="11">
        <v>116946.53</v>
      </c>
      <c r="P88" s="6"/>
      <c r="Q88" s="11">
        <v>0</v>
      </c>
      <c r="R88" s="11">
        <v>46791.91</v>
      </c>
      <c r="S88" s="11">
        <v>0</v>
      </c>
      <c r="T88" s="5"/>
      <c r="U88" s="18"/>
      <c r="V88" s="5"/>
      <c r="W88" s="18"/>
      <c r="X88" s="5"/>
      <c r="Y88" s="5"/>
      <c r="Z88" s="5"/>
      <c r="AA88" s="5"/>
      <c r="AB88" s="19"/>
      <c r="AC88" s="5"/>
    </row>
    <row r="89" spans="1:29" ht="13.05" customHeight="1" x14ac:dyDescent="0.3">
      <c r="A89" s="3" t="s">
        <v>694</v>
      </c>
      <c r="B89" s="3" t="s">
        <v>793</v>
      </c>
      <c r="C89" s="3" t="s">
        <v>663</v>
      </c>
      <c r="D89" s="3" t="s">
        <v>663</v>
      </c>
      <c r="E89" s="3" t="s">
        <v>663</v>
      </c>
      <c r="F89" s="3" t="s">
        <v>696</v>
      </c>
      <c r="G89" s="3" t="s">
        <v>794</v>
      </c>
      <c r="H89" s="4" t="s">
        <v>12</v>
      </c>
      <c r="I89" s="6">
        <v>-3293857.76</v>
      </c>
      <c r="J89" s="6">
        <v>1</v>
      </c>
      <c r="K89" s="6">
        <v>-3293857.76</v>
      </c>
      <c r="L89" s="6">
        <v>-3293857.76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 t="s">
        <v>794</v>
      </c>
      <c r="U89" s="18" t="s">
        <v>698</v>
      </c>
      <c r="V89" s="5" t="s">
        <v>795</v>
      </c>
      <c r="W89" s="18" t="s">
        <v>463</v>
      </c>
      <c r="X89" s="5" t="s">
        <v>663</v>
      </c>
      <c r="Y89" s="5" t="s">
        <v>794</v>
      </c>
      <c r="Z89" s="5" t="s">
        <v>221</v>
      </c>
      <c r="AA89" s="5"/>
      <c r="AB89" s="19"/>
      <c r="AC89" s="5" t="s">
        <v>692</v>
      </c>
    </row>
    <row r="90" spans="1:29" ht="13.05" customHeight="1" x14ac:dyDescent="0.3">
      <c r="A90" s="3" t="s">
        <v>694</v>
      </c>
      <c r="B90" s="3" t="s">
        <v>796</v>
      </c>
      <c r="C90" s="3" t="s">
        <v>663</v>
      </c>
      <c r="D90" s="3" t="s">
        <v>663</v>
      </c>
      <c r="E90" s="3" t="s">
        <v>663</v>
      </c>
      <c r="F90" s="3" t="s">
        <v>696</v>
      </c>
      <c r="G90" s="3" t="s">
        <v>794</v>
      </c>
      <c r="H90" s="4" t="s">
        <v>217</v>
      </c>
      <c r="I90" s="6">
        <v>3550500</v>
      </c>
      <c r="J90" s="6">
        <v>1.0366500000000001</v>
      </c>
      <c r="K90" s="6">
        <v>3550500</v>
      </c>
      <c r="L90" s="6">
        <v>3424974.68</v>
      </c>
      <c r="M90" s="6">
        <v>0</v>
      </c>
      <c r="N90" s="6">
        <v>0</v>
      </c>
      <c r="O90" s="6">
        <v>131116.92000000001</v>
      </c>
      <c r="P90" s="6">
        <v>0</v>
      </c>
      <c r="Q90" s="6">
        <v>0</v>
      </c>
      <c r="R90" s="6">
        <v>60962.3</v>
      </c>
      <c r="S90" s="6">
        <v>0</v>
      </c>
      <c r="T90" s="5" t="s">
        <v>794</v>
      </c>
      <c r="U90" s="18" t="s">
        <v>698</v>
      </c>
      <c r="V90" s="5" t="s">
        <v>795</v>
      </c>
      <c r="W90" s="18" t="s">
        <v>463</v>
      </c>
      <c r="X90" s="5" t="s">
        <v>663</v>
      </c>
      <c r="Y90" s="5" t="s">
        <v>794</v>
      </c>
      <c r="Z90" s="5" t="s">
        <v>221</v>
      </c>
      <c r="AA90" s="5"/>
      <c r="AB90" s="19"/>
      <c r="AC90" s="5" t="s">
        <v>693</v>
      </c>
    </row>
    <row r="91" spans="1:29" ht="13.05" customHeight="1" x14ac:dyDescent="0.3">
      <c r="A91" s="10" t="s">
        <v>59</v>
      </c>
      <c r="B91" s="3"/>
      <c r="C91" s="3"/>
      <c r="D91" s="10"/>
      <c r="E91" s="3"/>
      <c r="F91" s="3"/>
      <c r="G91" s="10"/>
      <c r="H91" s="20"/>
      <c r="I91" s="11"/>
      <c r="J91" s="6"/>
      <c r="K91" s="6"/>
      <c r="L91" s="6"/>
      <c r="M91" s="11"/>
      <c r="N91" s="11">
        <v>0</v>
      </c>
      <c r="O91" s="11">
        <v>131116.92000000001</v>
      </c>
      <c r="P91" s="6"/>
      <c r="Q91" s="11">
        <v>0</v>
      </c>
      <c r="R91" s="11">
        <v>60962.3</v>
      </c>
      <c r="S91" s="11">
        <v>0</v>
      </c>
      <c r="T91" s="5"/>
      <c r="U91" s="18"/>
      <c r="V91" s="5"/>
      <c r="W91" s="18"/>
      <c r="X91" s="5"/>
      <c r="Y91" s="5"/>
      <c r="Z91" s="5"/>
      <c r="AA91" s="5"/>
      <c r="AB91" s="19"/>
      <c r="AC91" s="5"/>
    </row>
    <row r="92" spans="1:29" ht="13.05" customHeight="1" x14ac:dyDescent="0.3">
      <c r="A92" s="3" t="s">
        <v>694</v>
      </c>
      <c r="B92" s="3" t="s">
        <v>797</v>
      </c>
      <c r="C92" s="3" t="s">
        <v>663</v>
      </c>
      <c r="D92" s="3" t="s">
        <v>663</v>
      </c>
      <c r="E92" s="3" t="s">
        <v>663</v>
      </c>
      <c r="F92" s="3" t="s">
        <v>696</v>
      </c>
      <c r="G92" s="3" t="s">
        <v>798</v>
      </c>
      <c r="H92" s="4" t="s">
        <v>12</v>
      </c>
      <c r="I92" s="6">
        <v>-3292344.01</v>
      </c>
      <c r="J92" s="6">
        <v>1</v>
      </c>
      <c r="K92" s="6">
        <v>-3292344.01</v>
      </c>
      <c r="L92" s="6">
        <v>-3292344.01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5" t="s">
        <v>798</v>
      </c>
      <c r="U92" s="18" t="s">
        <v>698</v>
      </c>
      <c r="V92" s="5" t="s">
        <v>799</v>
      </c>
      <c r="W92" s="18" t="s">
        <v>463</v>
      </c>
      <c r="X92" s="5" t="s">
        <v>663</v>
      </c>
      <c r="Y92" s="5" t="s">
        <v>798</v>
      </c>
      <c r="Z92" s="5" t="s">
        <v>221</v>
      </c>
      <c r="AA92" s="5"/>
      <c r="AB92" s="19"/>
      <c r="AC92" s="5" t="s">
        <v>692</v>
      </c>
    </row>
    <row r="93" spans="1:29" ht="13.05" customHeight="1" x14ac:dyDescent="0.3">
      <c r="A93" s="3" t="s">
        <v>694</v>
      </c>
      <c r="B93" s="3" t="s">
        <v>800</v>
      </c>
      <c r="C93" s="3" t="s">
        <v>663</v>
      </c>
      <c r="D93" s="3" t="s">
        <v>663</v>
      </c>
      <c r="E93" s="3" t="s">
        <v>663</v>
      </c>
      <c r="F93" s="3" t="s">
        <v>696</v>
      </c>
      <c r="G93" s="3" t="s">
        <v>798</v>
      </c>
      <c r="H93" s="4" t="s">
        <v>217</v>
      </c>
      <c r="I93" s="6">
        <v>3550500</v>
      </c>
      <c r="J93" s="6">
        <v>1.0366500000000001</v>
      </c>
      <c r="K93" s="6">
        <v>3550500</v>
      </c>
      <c r="L93" s="6">
        <v>3424974.68</v>
      </c>
      <c r="M93" s="6">
        <v>0</v>
      </c>
      <c r="N93" s="6">
        <v>0</v>
      </c>
      <c r="O93" s="6">
        <v>132630.67000000001</v>
      </c>
      <c r="P93" s="6">
        <v>0</v>
      </c>
      <c r="Q93" s="6">
        <v>0</v>
      </c>
      <c r="R93" s="6">
        <v>62476.05</v>
      </c>
      <c r="S93" s="6">
        <v>0</v>
      </c>
      <c r="T93" s="5" t="s">
        <v>798</v>
      </c>
      <c r="U93" s="18" t="s">
        <v>698</v>
      </c>
      <c r="V93" s="5" t="s">
        <v>799</v>
      </c>
      <c r="W93" s="18" t="s">
        <v>463</v>
      </c>
      <c r="X93" s="5" t="s">
        <v>663</v>
      </c>
      <c r="Y93" s="5" t="s">
        <v>798</v>
      </c>
      <c r="Z93" s="5" t="s">
        <v>221</v>
      </c>
      <c r="AA93" s="5"/>
      <c r="AB93" s="19"/>
      <c r="AC93" s="5" t="s">
        <v>693</v>
      </c>
    </row>
    <row r="94" spans="1:29" ht="13.05" customHeight="1" x14ac:dyDescent="0.3">
      <c r="A94" s="10" t="s">
        <v>59</v>
      </c>
      <c r="B94" s="3"/>
      <c r="C94" s="3"/>
      <c r="D94" s="10"/>
      <c r="E94" s="3"/>
      <c r="F94" s="3"/>
      <c r="G94" s="10"/>
      <c r="H94" s="20"/>
      <c r="I94" s="11"/>
      <c r="J94" s="6"/>
      <c r="K94" s="6"/>
      <c r="L94" s="6"/>
      <c r="M94" s="11"/>
      <c r="N94" s="11">
        <v>0</v>
      </c>
      <c r="O94" s="11">
        <v>132630.67000000001</v>
      </c>
      <c r="P94" s="6"/>
      <c r="Q94" s="11">
        <v>0</v>
      </c>
      <c r="R94" s="11">
        <v>62476.05</v>
      </c>
      <c r="S94" s="11">
        <v>0</v>
      </c>
      <c r="T94" s="5"/>
      <c r="U94" s="18"/>
      <c r="V94" s="5"/>
      <c r="W94" s="18"/>
      <c r="X94" s="5"/>
      <c r="Y94" s="5"/>
      <c r="Z94" s="5"/>
      <c r="AA94" s="5"/>
      <c r="AB94" s="19"/>
      <c r="AC94" s="5"/>
    </row>
    <row r="95" spans="1:29" ht="13.05" customHeight="1" x14ac:dyDescent="0.3">
      <c r="A95" s="3" t="s">
        <v>694</v>
      </c>
      <c r="B95" s="3" t="s">
        <v>801</v>
      </c>
      <c r="C95" s="3" t="s">
        <v>663</v>
      </c>
      <c r="D95" s="3" t="s">
        <v>663</v>
      </c>
      <c r="E95" s="3" t="s">
        <v>663</v>
      </c>
      <c r="F95" s="3" t="s">
        <v>696</v>
      </c>
      <c r="G95" s="3" t="s">
        <v>802</v>
      </c>
      <c r="H95" s="4" t="s">
        <v>12</v>
      </c>
      <c r="I95" s="6">
        <v>-9592.43</v>
      </c>
      <c r="J95" s="6">
        <v>1</v>
      </c>
      <c r="K95" s="6">
        <v>-9592.43</v>
      </c>
      <c r="L95" s="6">
        <v>-9592.43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 t="s">
        <v>802</v>
      </c>
      <c r="U95" s="18" t="s">
        <v>698</v>
      </c>
      <c r="V95" s="5" t="s">
        <v>803</v>
      </c>
      <c r="W95" s="18" t="s">
        <v>463</v>
      </c>
      <c r="X95" s="5" t="s">
        <v>663</v>
      </c>
      <c r="Y95" s="5" t="s">
        <v>802</v>
      </c>
      <c r="Z95" s="5" t="s">
        <v>221</v>
      </c>
      <c r="AA95" s="5"/>
      <c r="AB95" s="19"/>
      <c r="AC95" s="5" t="s">
        <v>692</v>
      </c>
    </row>
    <row r="96" spans="1:29" ht="13.05" customHeight="1" x14ac:dyDescent="0.3">
      <c r="A96" s="3" t="s">
        <v>694</v>
      </c>
      <c r="B96" s="3" t="s">
        <v>804</v>
      </c>
      <c r="C96" s="3" t="s">
        <v>663</v>
      </c>
      <c r="D96" s="3" t="s">
        <v>663</v>
      </c>
      <c r="E96" s="3" t="s">
        <v>663</v>
      </c>
      <c r="F96" s="3" t="s">
        <v>696</v>
      </c>
      <c r="G96" s="3" t="s">
        <v>802</v>
      </c>
      <c r="H96" s="4" t="s">
        <v>216</v>
      </c>
      <c r="I96" s="6">
        <v>8000</v>
      </c>
      <c r="J96" s="6">
        <v>0.82398000000000005</v>
      </c>
      <c r="K96" s="6">
        <v>8000</v>
      </c>
      <c r="L96" s="6">
        <v>9708.9699999999993</v>
      </c>
      <c r="M96" s="6">
        <v>0</v>
      </c>
      <c r="N96" s="6">
        <v>0</v>
      </c>
      <c r="O96" s="6">
        <v>116.54</v>
      </c>
      <c r="P96" s="6">
        <v>0</v>
      </c>
      <c r="Q96" s="6">
        <v>0</v>
      </c>
      <c r="R96" s="6">
        <v>34.130000000000003</v>
      </c>
      <c r="S96" s="6">
        <v>0</v>
      </c>
      <c r="T96" s="5" t="s">
        <v>802</v>
      </c>
      <c r="U96" s="18" t="s">
        <v>698</v>
      </c>
      <c r="V96" s="5" t="s">
        <v>803</v>
      </c>
      <c r="W96" s="18" t="s">
        <v>463</v>
      </c>
      <c r="X96" s="5" t="s">
        <v>663</v>
      </c>
      <c r="Y96" s="5" t="s">
        <v>802</v>
      </c>
      <c r="Z96" s="5" t="s">
        <v>221</v>
      </c>
      <c r="AA96" s="5"/>
      <c r="AB96" s="19"/>
      <c r="AC96" s="5" t="s">
        <v>693</v>
      </c>
    </row>
    <row r="97" spans="1:29" ht="13.05" customHeight="1" x14ac:dyDescent="0.3">
      <c r="A97" s="10" t="s">
        <v>59</v>
      </c>
      <c r="B97" s="3"/>
      <c r="C97" s="3"/>
      <c r="D97" s="10"/>
      <c r="E97" s="3"/>
      <c r="F97" s="3"/>
      <c r="G97" s="10"/>
      <c r="H97" s="20"/>
      <c r="I97" s="11"/>
      <c r="J97" s="6"/>
      <c r="K97" s="6"/>
      <c r="L97" s="6"/>
      <c r="M97" s="11"/>
      <c r="N97" s="11">
        <v>0</v>
      </c>
      <c r="O97" s="11">
        <v>116.54</v>
      </c>
      <c r="P97" s="6"/>
      <c r="Q97" s="11">
        <v>0</v>
      </c>
      <c r="R97" s="11">
        <v>34.130000000000003</v>
      </c>
      <c r="S97" s="11">
        <v>0</v>
      </c>
      <c r="T97" s="5"/>
      <c r="U97" s="18"/>
      <c r="V97" s="5"/>
      <c r="W97" s="18"/>
      <c r="X97" s="5"/>
      <c r="Y97" s="5"/>
      <c r="Z97" s="5"/>
      <c r="AA97" s="5"/>
      <c r="AB97" s="19"/>
      <c r="AC97" s="5"/>
    </row>
    <row r="98" spans="1:29" ht="13.05" customHeight="1" x14ac:dyDescent="0.3">
      <c r="A98" s="3" t="s">
        <v>694</v>
      </c>
      <c r="B98" s="3" t="s">
        <v>805</v>
      </c>
      <c r="C98" s="3" t="s">
        <v>663</v>
      </c>
      <c r="D98" s="3" t="s">
        <v>663</v>
      </c>
      <c r="E98" s="3" t="s">
        <v>663</v>
      </c>
      <c r="F98" s="3" t="s">
        <v>696</v>
      </c>
      <c r="G98" s="3" t="s">
        <v>806</v>
      </c>
      <c r="H98" s="4" t="s">
        <v>217</v>
      </c>
      <c r="I98" s="6">
        <v>3550500</v>
      </c>
      <c r="J98" s="6">
        <v>1.0366500000000001</v>
      </c>
      <c r="K98" s="6">
        <v>3550500</v>
      </c>
      <c r="L98" s="6">
        <v>3424974.68</v>
      </c>
      <c r="M98" s="6">
        <v>0</v>
      </c>
      <c r="N98" s="6">
        <v>0</v>
      </c>
      <c r="O98" s="6">
        <v>75017.2</v>
      </c>
      <c r="P98" s="6">
        <v>0</v>
      </c>
      <c r="Q98" s="6">
        <v>0</v>
      </c>
      <c r="R98" s="6">
        <v>4862.58</v>
      </c>
      <c r="S98" s="6">
        <v>0</v>
      </c>
      <c r="T98" s="5" t="s">
        <v>806</v>
      </c>
      <c r="U98" s="18" t="s">
        <v>698</v>
      </c>
      <c r="V98" s="5" t="s">
        <v>807</v>
      </c>
      <c r="W98" s="18" t="s">
        <v>463</v>
      </c>
      <c r="X98" s="5" t="s">
        <v>663</v>
      </c>
      <c r="Y98" s="5" t="s">
        <v>806</v>
      </c>
      <c r="Z98" s="5" t="s">
        <v>221</v>
      </c>
      <c r="AA98" s="5"/>
      <c r="AB98" s="19"/>
      <c r="AC98" s="5" t="s">
        <v>693</v>
      </c>
    </row>
    <row r="99" spans="1:29" ht="13.05" customHeight="1" x14ac:dyDescent="0.3">
      <c r="A99" s="3" t="s">
        <v>694</v>
      </c>
      <c r="B99" s="3" t="s">
        <v>808</v>
      </c>
      <c r="C99" s="3" t="s">
        <v>663</v>
      </c>
      <c r="D99" s="3" t="s">
        <v>663</v>
      </c>
      <c r="E99" s="3" t="s">
        <v>663</v>
      </c>
      <c r="F99" s="3" t="s">
        <v>696</v>
      </c>
      <c r="G99" s="3" t="s">
        <v>806</v>
      </c>
      <c r="H99" s="4" t="s">
        <v>12</v>
      </c>
      <c r="I99" s="6">
        <v>-3349957.48</v>
      </c>
      <c r="J99" s="6">
        <v>1</v>
      </c>
      <c r="K99" s="6">
        <v>-3349957.48</v>
      </c>
      <c r="L99" s="6">
        <v>-3349957.48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5" t="s">
        <v>806</v>
      </c>
      <c r="U99" s="18" t="s">
        <v>698</v>
      </c>
      <c r="V99" s="5" t="s">
        <v>807</v>
      </c>
      <c r="W99" s="18" t="s">
        <v>463</v>
      </c>
      <c r="X99" s="5" t="s">
        <v>663</v>
      </c>
      <c r="Y99" s="5" t="s">
        <v>806</v>
      </c>
      <c r="Z99" s="5" t="s">
        <v>221</v>
      </c>
      <c r="AA99" s="5"/>
      <c r="AB99" s="19"/>
      <c r="AC99" s="5" t="s">
        <v>692</v>
      </c>
    </row>
    <row r="100" spans="1:29" ht="13.05" customHeight="1" x14ac:dyDescent="0.3">
      <c r="A100" s="10" t="s">
        <v>59</v>
      </c>
      <c r="B100" s="3"/>
      <c r="C100" s="3"/>
      <c r="D100" s="10"/>
      <c r="E100" s="3"/>
      <c r="F100" s="3"/>
      <c r="G100" s="10"/>
      <c r="H100" s="20"/>
      <c r="I100" s="11"/>
      <c r="J100" s="6"/>
      <c r="K100" s="6"/>
      <c r="L100" s="6"/>
      <c r="M100" s="11"/>
      <c r="N100" s="11">
        <v>0</v>
      </c>
      <c r="O100" s="11">
        <v>75017.2</v>
      </c>
      <c r="P100" s="6"/>
      <c r="Q100" s="11">
        <v>0</v>
      </c>
      <c r="R100" s="11">
        <v>4862.58</v>
      </c>
      <c r="S100" s="11">
        <v>0</v>
      </c>
      <c r="T100" s="5"/>
      <c r="U100" s="18"/>
      <c r="V100" s="5"/>
      <c r="W100" s="18"/>
      <c r="X100" s="5"/>
      <c r="Y100" s="5"/>
      <c r="Z100" s="5"/>
      <c r="AA100" s="5"/>
      <c r="AB100" s="19"/>
      <c r="AC100" s="5"/>
    </row>
    <row r="101" spans="1:29" ht="13.05" customHeight="1" x14ac:dyDescent="0.3">
      <c r="A101" s="3" t="s">
        <v>694</v>
      </c>
      <c r="B101" s="3" t="s">
        <v>809</v>
      </c>
      <c r="C101" s="3" t="s">
        <v>663</v>
      </c>
      <c r="D101" s="3" t="s">
        <v>663</v>
      </c>
      <c r="E101" s="3" t="s">
        <v>663</v>
      </c>
      <c r="F101" s="3" t="s">
        <v>696</v>
      </c>
      <c r="G101" s="3" t="s">
        <v>810</v>
      </c>
      <c r="H101" s="4" t="s">
        <v>12</v>
      </c>
      <c r="I101" s="6">
        <v>-9605.2000000000007</v>
      </c>
      <c r="J101" s="6">
        <v>1</v>
      </c>
      <c r="K101" s="6">
        <v>-9605.2000000000007</v>
      </c>
      <c r="L101" s="6">
        <v>-9605.2000000000007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5" t="s">
        <v>810</v>
      </c>
      <c r="U101" s="18" t="s">
        <v>698</v>
      </c>
      <c r="V101" s="5" t="s">
        <v>811</v>
      </c>
      <c r="W101" s="18" t="s">
        <v>463</v>
      </c>
      <c r="X101" s="5" t="s">
        <v>663</v>
      </c>
      <c r="Y101" s="5" t="s">
        <v>810</v>
      </c>
      <c r="Z101" s="5" t="s">
        <v>221</v>
      </c>
      <c r="AA101" s="5"/>
      <c r="AB101" s="19"/>
      <c r="AC101" s="5" t="s">
        <v>692</v>
      </c>
    </row>
    <row r="102" spans="1:29" ht="13.05" customHeight="1" x14ac:dyDescent="0.3">
      <c r="A102" s="3" t="s">
        <v>694</v>
      </c>
      <c r="B102" s="3" t="s">
        <v>812</v>
      </c>
      <c r="C102" s="3" t="s">
        <v>663</v>
      </c>
      <c r="D102" s="3" t="s">
        <v>663</v>
      </c>
      <c r="E102" s="3" t="s">
        <v>663</v>
      </c>
      <c r="F102" s="3" t="s">
        <v>696</v>
      </c>
      <c r="G102" s="3" t="s">
        <v>810</v>
      </c>
      <c r="H102" s="4" t="s">
        <v>216</v>
      </c>
      <c r="I102" s="6">
        <v>8000</v>
      </c>
      <c r="J102" s="6">
        <v>0.82398000000000005</v>
      </c>
      <c r="K102" s="6">
        <v>8000</v>
      </c>
      <c r="L102" s="6">
        <v>9708.9699999999993</v>
      </c>
      <c r="M102" s="6">
        <v>0</v>
      </c>
      <c r="N102" s="6">
        <v>0</v>
      </c>
      <c r="O102" s="6">
        <v>103.77</v>
      </c>
      <c r="P102" s="6">
        <v>0</v>
      </c>
      <c r="Q102" s="6">
        <v>0</v>
      </c>
      <c r="R102" s="6">
        <v>21.36</v>
      </c>
      <c r="S102" s="6">
        <v>0</v>
      </c>
      <c r="T102" s="5" t="s">
        <v>810</v>
      </c>
      <c r="U102" s="18" t="s">
        <v>698</v>
      </c>
      <c r="V102" s="5" t="s">
        <v>811</v>
      </c>
      <c r="W102" s="18" t="s">
        <v>463</v>
      </c>
      <c r="X102" s="5" t="s">
        <v>663</v>
      </c>
      <c r="Y102" s="5" t="s">
        <v>810</v>
      </c>
      <c r="Z102" s="5" t="s">
        <v>221</v>
      </c>
      <c r="AA102" s="5"/>
      <c r="AB102" s="19"/>
      <c r="AC102" s="5" t="s">
        <v>693</v>
      </c>
    </row>
    <row r="103" spans="1:29" ht="13.05" customHeight="1" x14ac:dyDescent="0.3">
      <c r="A103" s="10" t="s">
        <v>59</v>
      </c>
      <c r="B103" s="3"/>
      <c r="C103" s="3"/>
      <c r="D103" s="10"/>
      <c r="E103" s="3"/>
      <c r="F103" s="3"/>
      <c r="G103" s="10"/>
      <c r="H103" s="20"/>
      <c r="I103" s="11"/>
      <c r="J103" s="6"/>
      <c r="K103" s="6"/>
      <c r="L103" s="6"/>
      <c r="M103" s="11"/>
      <c r="N103" s="11">
        <v>0</v>
      </c>
      <c r="O103" s="11">
        <v>103.77</v>
      </c>
      <c r="P103" s="6"/>
      <c r="Q103" s="11">
        <v>0</v>
      </c>
      <c r="R103" s="11">
        <v>21.36</v>
      </c>
      <c r="S103" s="11">
        <v>0</v>
      </c>
      <c r="T103" s="5"/>
      <c r="U103" s="18"/>
      <c r="V103" s="5"/>
      <c r="W103" s="18"/>
      <c r="X103" s="5"/>
      <c r="Y103" s="5"/>
      <c r="Z103" s="5"/>
      <c r="AA103" s="5"/>
      <c r="AB103" s="19"/>
      <c r="AC103" s="5"/>
    </row>
    <row r="104" spans="1:29" ht="13.05" customHeight="1" x14ac:dyDescent="0.3">
      <c r="A104" s="3" t="s">
        <v>694</v>
      </c>
      <c r="B104" s="3" t="s">
        <v>813</v>
      </c>
      <c r="C104" s="3" t="s">
        <v>663</v>
      </c>
      <c r="D104" s="3" t="s">
        <v>663</v>
      </c>
      <c r="E104" s="3" t="s">
        <v>663</v>
      </c>
      <c r="F104" s="3" t="s">
        <v>696</v>
      </c>
      <c r="G104" s="3" t="s">
        <v>814</v>
      </c>
      <c r="H104" s="4" t="s">
        <v>12</v>
      </c>
      <c r="I104" s="6">
        <v>-3364900.5</v>
      </c>
      <c r="J104" s="6">
        <v>1</v>
      </c>
      <c r="K104" s="6">
        <v>-3364900.5</v>
      </c>
      <c r="L104" s="6">
        <v>-3364900.5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5" t="s">
        <v>814</v>
      </c>
      <c r="U104" s="18" t="s">
        <v>698</v>
      </c>
      <c r="V104" s="5" t="s">
        <v>815</v>
      </c>
      <c r="W104" s="18" t="s">
        <v>463</v>
      </c>
      <c r="X104" s="5" t="s">
        <v>663</v>
      </c>
      <c r="Y104" s="5" t="s">
        <v>814</v>
      </c>
      <c r="Z104" s="5" t="s">
        <v>221</v>
      </c>
      <c r="AA104" s="5"/>
      <c r="AB104" s="19"/>
      <c r="AC104" s="5" t="s">
        <v>692</v>
      </c>
    </row>
    <row r="105" spans="1:29" ht="13.05" customHeight="1" x14ac:dyDescent="0.3">
      <c r="A105" s="3" t="s">
        <v>694</v>
      </c>
      <c r="B105" s="3" t="s">
        <v>816</v>
      </c>
      <c r="C105" s="3" t="s">
        <v>663</v>
      </c>
      <c r="D105" s="3" t="s">
        <v>663</v>
      </c>
      <c r="E105" s="3" t="s">
        <v>663</v>
      </c>
      <c r="F105" s="3" t="s">
        <v>696</v>
      </c>
      <c r="G105" s="3" t="s">
        <v>814</v>
      </c>
      <c r="H105" s="4" t="s">
        <v>217</v>
      </c>
      <c r="I105" s="6">
        <v>3550500</v>
      </c>
      <c r="J105" s="6">
        <v>1.0366500000000001</v>
      </c>
      <c r="K105" s="6">
        <v>3550500</v>
      </c>
      <c r="L105" s="6">
        <v>3424974.68</v>
      </c>
      <c r="M105" s="6">
        <v>0</v>
      </c>
      <c r="N105" s="6">
        <v>0</v>
      </c>
      <c r="O105" s="6">
        <v>60074.18</v>
      </c>
      <c r="P105" s="6">
        <v>0</v>
      </c>
      <c r="Q105" s="6">
        <v>0</v>
      </c>
      <c r="R105" s="6">
        <v>-10080.44</v>
      </c>
      <c r="S105" s="6">
        <v>0</v>
      </c>
      <c r="T105" s="5" t="s">
        <v>814</v>
      </c>
      <c r="U105" s="18" t="s">
        <v>698</v>
      </c>
      <c r="V105" s="5" t="s">
        <v>815</v>
      </c>
      <c r="W105" s="18" t="s">
        <v>463</v>
      </c>
      <c r="X105" s="5" t="s">
        <v>663</v>
      </c>
      <c r="Y105" s="5" t="s">
        <v>814</v>
      </c>
      <c r="Z105" s="5" t="s">
        <v>221</v>
      </c>
      <c r="AA105" s="5"/>
      <c r="AB105" s="19"/>
      <c r="AC105" s="5" t="s">
        <v>693</v>
      </c>
    </row>
    <row r="106" spans="1:29" ht="13.05" customHeight="1" x14ac:dyDescent="0.3">
      <c r="A106" s="10" t="s">
        <v>59</v>
      </c>
      <c r="B106" s="3"/>
      <c r="C106" s="3"/>
      <c r="D106" s="10"/>
      <c r="E106" s="3"/>
      <c r="F106" s="3"/>
      <c r="G106" s="10"/>
      <c r="H106" s="20"/>
      <c r="I106" s="11"/>
      <c r="J106" s="6"/>
      <c r="K106" s="6"/>
      <c r="L106" s="6"/>
      <c r="M106" s="11"/>
      <c r="N106" s="11">
        <v>0</v>
      </c>
      <c r="O106" s="11">
        <v>60074.18</v>
      </c>
      <c r="P106" s="6"/>
      <c r="Q106" s="11">
        <v>0</v>
      </c>
      <c r="R106" s="11">
        <v>-10080.44</v>
      </c>
      <c r="S106" s="11">
        <v>0</v>
      </c>
      <c r="T106" s="5"/>
      <c r="U106" s="18"/>
      <c r="V106" s="5"/>
      <c r="W106" s="18"/>
      <c r="X106" s="5"/>
      <c r="Y106" s="5"/>
      <c r="Z106" s="5"/>
      <c r="AA106" s="5"/>
      <c r="AB106" s="19"/>
      <c r="AC106" s="5"/>
    </row>
    <row r="107" spans="1:29" ht="13.05" customHeight="1" x14ac:dyDescent="0.3">
      <c r="A107" s="3" t="s">
        <v>817</v>
      </c>
      <c r="B107" s="3" t="s">
        <v>818</v>
      </c>
      <c r="C107" s="3" t="s">
        <v>679</v>
      </c>
      <c r="D107" s="3" t="s">
        <v>679</v>
      </c>
      <c r="E107" s="3"/>
      <c r="F107" s="3" t="s">
        <v>660</v>
      </c>
      <c r="G107" s="3" t="s">
        <v>819</v>
      </c>
      <c r="H107" s="4" t="s">
        <v>217</v>
      </c>
      <c r="I107" s="6">
        <v>-4306</v>
      </c>
      <c r="J107" s="6">
        <v>1.050759</v>
      </c>
      <c r="K107" s="6">
        <v>-4306</v>
      </c>
      <c r="L107" s="6">
        <v>-4097.99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5" t="s">
        <v>819</v>
      </c>
      <c r="U107" s="18" t="s">
        <v>820</v>
      </c>
      <c r="V107" s="5" t="s">
        <v>819</v>
      </c>
      <c r="W107" s="18" t="s">
        <v>821</v>
      </c>
      <c r="X107" s="5" t="s">
        <v>13</v>
      </c>
      <c r="Y107" s="5" t="s">
        <v>819</v>
      </c>
      <c r="Z107" s="5" t="s">
        <v>221</v>
      </c>
      <c r="AA107" s="5" t="s">
        <v>213</v>
      </c>
      <c r="AB107" s="19">
        <v>4306</v>
      </c>
      <c r="AC107" s="5" t="s">
        <v>692</v>
      </c>
    </row>
    <row r="108" spans="1:29" ht="13.05" customHeight="1" x14ac:dyDescent="0.3">
      <c r="A108" s="3" t="s">
        <v>817</v>
      </c>
      <c r="B108" s="3" t="s">
        <v>818</v>
      </c>
      <c r="C108" s="3" t="s">
        <v>679</v>
      </c>
      <c r="D108" s="3" t="s">
        <v>679</v>
      </c>
      <c r="E108" s="3"/>
      <c r="F108" s="3" t="s">
        <v>660</v>
      </c>
      <c r="G108" s="3" t="s">
        <v>819</v>
      </c>
      <c r="H108" s="4" t="s">
        <v>12</v>
      </c>
      <c r="I108" s="6">
        <v>4097.99</v>
      </c>
      <c r="J108" s="6">
        <v>1.050759</v>
      </c>
      <c r="K108" s="6">
        <v>4097.99</v>
      </c>
      <c r="L108" s="6">
        <v>4097.99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5" t="s">
        <v>819</v>
      </c>
      <c r="U108" s="18" t="s">
        <v>820</v>
      </c>
      <c r="V108" s="5" t="s">
        <v>819</v>
      </c>
      <c r="W108" s="18" t="s">
        <v>821</v>
      </c>
      <c r="X108" s="5" t="s">
        <v>13</v>
      </c>
      <c r="Y108" s="5" t="s">
        <v>819</v>
      </c>
      <c r="Z108" s="5" t="s">
        <v>221</v>
      </c>
      <c r="AA108" s="5" t="s">
        <v>213</v>
      </c>
      <c r="AB108" s="19">
        <v>4097.99</v>
      </c>
      <c r="AC108" s="5" t="s">
        <v>693</v>
      </c>
    </row>
    <row r="109" spans="1:29" ht="13.05" customHeight="1" x14ac:dyDescent="0.3">
      <c r="A109" s="10" t="s">
        <v>59</v>
      </c>
      <c r="B109" s="3"/>
      <c r="C109" s="3"/>
      <c r="D109" s="10"/>
      <c r="E109" s="3"/>
      <c r="F109" s="3"/>
      <c r="G109" s="10"/>
      <c r="H109" s="20"/>
      <c r="I109" s="11"/>
      <c r="J109" s="6"/>
      <c r="K109" s="6"/>
      <c r="L109" s="6"/>
      <c r="M109" s="11"/>
      <c r="N109" s="11">
        <v>0</v>
      </c>
      <c r="O109" s="11">
        <v>0</v>
      </c>
      <c r="P109" s="6"/>
      <c r="Q109" s="11">
        <v>0</v>
      </c>
      <c r="R109" s="11">
        <v>0</v>
      </c>
      <c r="S109" s="11">
        <v>0</v>
      </c>
      <c r="T109" s="5"/>
      <c r="U109" s="18"/>
      <c r="V109" s="5"/>
      <c r="W109" s="18"/>
      <c r="X109" s="5"/>
      <c r="Y109" s="5"/>
      <c r="Z109" s="5"/>
      <c r="AA109" s="5"/>
      <c r="AB109" s="19"/>
      <c r="AC109" s="5"/>
    </row>
    <row r="110" spans="1:29" ht="13.05" customHeight="1" x14ac:dyDescent="0.3">
      <c r="A110" s="3" t="s">
        <v>817</v>
      </c>
      <c r="B110" s="3" t="s">
        <v>822</v>
      </c>
      <c r="C110" s="3" t="s">
        <v>689</v>
      </c>
      <c r="D110" s="3" t="s">
        <v>689</v>
      </c>
      <c r="E110" s="3"/>
      <c r="F110" s="3" t="s">
        <v>660</v>
      </c>
      <c r="G110" s="3" t="s">
        <v>823</v>
      </c>
      <c r="H110" s="4" t="s">
        <v>217</v>
      </c>
      <c r="I110" s="6">
        <v>-47101.18</v>
      </c>
      <c r="J110" s="6">
        <v>1.05162</v>
      </c>
      <c r="K110" s="6">
        <v>-47101.18</v>
      </c>
      <c r="L110" s="6">
        <v>-44789.15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5" t="s">
        <v>823</v>
      </c>
      <c r="U110" s="18" t="s">
        <v>820</v>
      </c>
      <c r="V110" s="5" t="s">
        <v>823</v>
      </c>
      <c r="W110" s="18" t="s">
        <v>821</v>
      </c>
      <c r="X110" s="5" t="s">
        <v>13</v>
      </c>
      <c r="Y110" s="5" t="s">
        <v>823</v>
      </c>
      <c r="Z110" s="5" t="s">
        <v>221</v>
      </c>
      <c r="AA110" s="5" t="s">
        <v>213</v>
      </c>
      <c r="AB110" s="19">
        <v>47101.18</v>
      </c>
      <c r="AC110" s="5" t="s">
        <v>692</v>
      </c>
    </row>
    <row r="111" spans="1:29" ht="13.05" customHeight="1" x14ac:dyDescent="0.3">
      <c r="A111" s="3" t="s">
        <v>817</v>
      </c>
      <c r="B111" s="3" t="s">
        <v>822</v>
      </c>
      <c r="C111" s="3" t="s">
        <v>689</v>
      </c>
      <c r="D111" s="3" t="s">
        <v>689</v>
      </c>
      <c r="E111" s="3"/>
      <c r="F111" s="3" t="s">
        <v>660</v>
      </c>
      <c r="G111" s="3" t="s">
        <v>823</v>
      </c>
      <c r="H111" s="4" t="s">
        <v>12</v>
      </c>
      <c r="I111" s="6">
        <v>44789.15</v>
      </c>
      <c r="J111" s="6">
        <v>1.05162</v>
      </c>
      <c r="K111" s="6">
        <v>44789.15</v>
      </c>
      <c r="L111" s="6">
        <v>44789.15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5" t="s">
        <v>823</v>
      </c>
      <c r="U111" s="18" t="s">
        <v>820</v>
      </c>
      <c r="V111" s="5" t="s">
        <v>823</v>
      </c>
      <c r="W111" s="18" t="s">
        <v>821</v>
      </c>
      <c r="X111" s="5" t="s">
        <v>13</v>
      </c>
      <c r="Y111" s="5" t="s">
        <v>823</v>
      </c>
      <c r="Z111" s="5" t="s">
        <v>221</v>
      </c>
      <c r="AA111" s="5" t="s">
        <v>213</v>
      </c>
      <c r="AB111" s="19">
        <v>44789.15</v>
      </c>
      <c r="AC111" s="5" t="s">
        <v>693</v>
      </c>
    </row>
    <row r="112" spans="1:29" ht="13.05" customHeight="1" x14ac:dyDescent="0.3">
      <c r="A112" s="10" t="s">
        <v>59</v>
      </c>
      <c r="B112" s="3"/>
      <c r="C112" s="3"/>
      <c r="D112" s="10"/>
      <c r="E112" s="3"/>
      <c r="F112" s="3"/>
      <c r="G112" s="10"/>
      <c r="H112" s="20"/>
      <c r="I112" s="11"/>
      <c r="J112" s="6"/>
      <c r="K112" s="6"/>
      <c r="L112" s="6"/>
      <c r="M112" s="11"/>
      <c r="N112" s="11">
        <v>0</v>
      </c>
      <c r="O112" s="11">
        <v>0</v>
      </c>
      <c r="P112" s="6"/>
      <c r="Q112" s="11">
        <v>0</v>
      </c>
      <c r="R112" s="11">
        <v>0</v>
      </c>
      <c r="S112" s="11">
        <v>0</v>
      </c>
      <c r="T112" s="5"/>
      <c r="U112" s="18"/>
      <c r="V112" s="5"/>
      <c r="W112" s="18"/>
      <c r="X112" s="5"/>
      <c r="Y112" s="5"/>
      <c r="Z112" s="5"/>
      <c r="AA112" s="5"/>
      <c r="AB112" s="19"/>
      <c r="AC11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4.4" x14ac:dyDescent="0.3"/>
  <cols>
    <col min="1" max="3" width="28" customWidth="1"/>
    <col min="4" max="5" width="14" customWidth="1"/>
    <col min="6" max="7" width="28" customWidth="1"/>
    <col min="8" max="9" width="14" customWidth="1"/>
    <col min="10" max="13" width="28" customWidth="1"/>
    <col min="14" max="14" width="14" customWidth="1"/>
    <col min="15" max="16" width="28" customWidth="1"/>
  </cols>
  <sheetData>
    <row r="1" spans="1:16" ht="36" customHeight="1" x14ac:dyDescent="0.3">
      <c r="A1" s="1" t="s">
        <v>270</v>
      </c>
      <c r="B1" s="1" t="s">
        <v>271</v>
      </c>
      <c r="C1" s="1" t="s">
        <v>633</v>
      </c>
      <c r="D1" s="1" t="s">
        <v>635</v>
      </c>
      <c r="E1" s="1" t="s">
        <v>636</v>
      </c>
      <c r="F1" s="1" t="s">
        <v>638</v>
      </c>
      <c r="G1" s="1" t="s">
        <v>45</v>
      </c>
      <c r="H1" s="1" t="s">
        <v>824</v>
      </c>
      <c r="I1" s="2" t="s">
        <v>825</v>
      </c>
      <c r="J1" s="2" t="s">
        <v>279</v>
      </c>
      <c r="K1" s="2" t="s">
        <v>826</v>
      </c>
      <c r="L1" s="2" t="s">
        <v>202</v>
      </c>
      <c r="M1" s="2" t="s">
        <v>827</v>
      </c>
      <c r="N1" s="1" t="s">
        <v>828</v>
      </c>
      <c r="O1" s="1" t="s">
        <v>829</v>
      </c>
      <c r="P1" s="1" t="s">
        <v>830</v>
      </c>
    </row>
    <row r="2" spans="1:16" ht="13.05" customHeight="1" x14ac:dyDescent="0.3">
      <c r="A2" s="3" t="s">
        <v>291</v>
      </c>
      <c r="B2" s="3" t="s">
        <v>292</v>
      </c>
      <c r="C2" s="3" t="s">
        <v>831</v>
      </c>
      <c r="D2" s="3" t="s">
        <v>13</v>
      </c>
      <c r="E2" s="3" t="s">
        <v>13</v>
      </c>
      <c r="F2" s="3" t="s">
        <v>660</v>
      </c>
      <c r="G2" s="3" t="s">
        <v>296</v>
      </c>
      <c r="H2" s="4" t="s">
        <v>832</v>
      </c>
      <c r="I2" s="6">
        <v>4447.42</v>
      </c>
      <c r="J2" s="7">
        <v>6.0999999999999999E-5</v>
      </c>
      <c r="K2" s="5" t="s">
        <v>295</v>
      </c>
      <c r="L2" s="5" t="s">
        <v>221</v>
      </c>
      <c r="M2" s="5" t="s">
        <v>833</v>
      </c>
      <c r="N2" s="5" t="s">
        <v>13</v>
      </c>
      <c r="O2" s="5" t="s">
        <v>221</v>
      </c>
      <c r="P2" s="17"/>
    </row>
    <row r="3" spans="1:16" ht="13.05" customHeight="1" x14ac:dyDescent="0.3">
      <c r="A3" s="3" t="s">
        <v>291</v>
      </c>
      <c r="B3" s="3" t="s">
        <v>292</v>
      </c>
      <c r="C3" s="3" t="s">
        <v>834</v>
      </c>
      <c r="D3" s="3" t="s">
        <v>13</v>
      </c>
      <c r="E3" s="3" t="s">
        <v>13</v>
      </c>
      <c r="F3" s="3" t="s">
        <v>660</v>
      </c>
      <c r="G3" s="3" t="s">
        <v>296</v>
      </c>
      <c r="H3" s="4" t="s">
        <v>832</v>
      </c>
      <c r="I3" s="6">
        <v>45471.9</v>
      </c>
      <c r="J3" s="7">
        <v>6.2600000000000004E-4</v>
      </c>
      <c r="K3" s="5" t="s">
        <v>295</v>
      </c>
      <c r="L3" s="5" t="s">
        <v>221</v>
      </c>
      <c r="M3" s="5" t="s">
        <v>835</v>
      </c>
      <c r="N3" s="5" t="s">
        <v>13</v>
      </c>
      <c r="O3" s="5" t="s">
        <v>221</v>
      </c>
      <c r="P3" s="17"/>
    </row>
    <row r="4" spans="1:16" ht="13.05" customHeight="1" x14ac:dyDescent="0.3">
      <c r="A4" s="3" t="s">
        <v>291</v>
      </c>
      <c r="B4" s="3" t="s">
        <v>292</v>
      </c>
      <c r="C4" s="3" t="s">
        <v>836</v>
      </c>
      <c r="D4" s="3" t="s">
        <v>13</v>
      </c>
      <c r="E4" s="3" t="s">
        <v>13</v>
      </c>
      <c r="F4" s="3" t="s">
        <v>660</v>
      </c>
      <c r="G4" s="3" t="s">
        <v>296</v>
      </c>
      <c r="H4" s="4" t="s">
        <v>832</v>
      </c>
      <c r="I4" s="6">
        <v>36022.199999999997</v>
      </c>
      <c r="J4" s="7">
        <v>4.9600000000000002E-4</v>
      </c>
      <c r="K4" s="5" t="s">
        <v>295</v>
      </c>
      <c r="L4" s="5" t="s">
        <v>221</v>
      </c>
      <c r="M4" s="5" t="s">
        <v>837</v>
      </c>
      <c r="N4" s="5" t="s">
        <v>13</v>
      </c>
      <c r="O4" s="5" t="s">
        <v>221</v>
      </c>
      <c r="P4" s="17"/>
    </row>
    <row r="5" spans="1:16" ht="13.05" customHeight="1" x14ac:dyDescent="0.3">
      <c r="A5" s="10" t="s">
        <v>59</v>
      </c>
      <c r="B5" s="10" t="s">
        <v>292</v>
      </c>
      <c r="C5" s="3"/>
      <c r="D5" s="3"/>
      <c r="E5" s="3"/>
      <c r="F5" s="3"/>
      <c r="G5" s="3"/>
      <c r="H5" s="4"/>
      <c r="I5" s="11">
        <v>85941.52</v>
      </c>
      <c r="J5" s="12">
        <v>1.1820000000000001E-3</v>
      </c>
      <c r="K5" s="5"/>
      <c r="L5" s="5"/>
      <c r="M5" s="5"/>
      <c r="N5" s="5"/>
      <c r="O5" s="5"/>
      <c r="P5" s="17"/>
    </row>
    <row r="6" spans="1:16" ht="13.05" customHeight="1" x14ac:dyDescent="0.3">
      <c r="A6" s="3" t="s">
        <v>299</v>
      </c>
      <c r="B6" s="3" t="s">
        <v>300</v>
      </c>
      <c r="C6" s="3" t="s">
        <v>838</v>
      </c>
      <c r="D6" s="3" t="s">
        <v>13</v>
      </c>
      <c r="E6" s="3" t="s">
        <v>13</v>
      </c>
      <c r="F6" s="3" t="s">
        <v>660</v>
      </c>
      <c r="G6" s="3" t="s">
        <v>302</v>
      </c>
      <c r="H6" s="4" t="s">
        <v>832</v>
      </c>
      <c r="I6" s="6">
        <v>24134.05</v>
      </c>
      <c r="J6" s="7">
        <v>3.3199999999999999E-4</v>
      </c>
      <c r="K6" s="5" t="s">
        <v>301</v>
      </c>
      <c r="L6" s="5" t="s">
        <v>221</v>
      </c>
      <c r="M6" s="5" t="s">
        <v>839</v>
      </c>
      <c r="N6" s="5" t="s">
        <v>13</v>
      </c>
      <c r="O6" s="5" t="s">
        <v>221</v>
      </c>
      <c r="P6" s="17"/>
    </row>
    <row r="7" spans="1:16" ht="13.05" customHeight="1" x14ac:dyDescent="0.3">
      <c r="A7" s="3" t="s">
        <v>299</v>
      </c>
      <c r="B7" s="3" t="s">
        <v>300</v>
      </c>
      <c r="C7" s="3" t="s">
        <v>840</v>
      </c>
      <c r="D7" s="3" t="s">
        <v>13</v>
      </c>
      <c r="E7" s="3" t="s">
        <v>13</v>
      </c>
      <c r="F7" s="3" t="s">
        <v>660</v>
      </c>
      <c r="G7" s="3" t="s">
        <v>302</v>
      </c>
      <c r="H7" s="4" t="s">
        <v>832</v>
      </c>
      <c r="I7" s="6">
        <v>1.1599999999999999</v>
      </c>
      <c r="J7" s="7">
        <v>0</v>
      </c>
      <c r="K7" s="5" t="s">
        <v>301</v>
      </c>
      <c r="L7" s="5" t="s">
        <v>221</v>
      </c>
      <c r="M7" s="5" t="s">
        <v>841</v>
      </c>
      <c r="N7" s="5" t="s">
        <v>13</v>
      </c>
      <c r="O7" s="5" t="s">
        <v>221</v>
      </c>
      <c r="P7" s="17"/>
    </row>
    <row r="8" spans="1:16" ht="13.05" customHeight="1" x14ac:dyDescent="0.3">
      <c r="A8" s="3" t="s">
        <v>299</v>
      </c>
      <c r="B8" s="3" t="s">
        <v>300</v>
      </c>
      <c r="C8" s="3" t="s">
        <v>842</v>
      </c>
      <c r="D8" s="3" t="s">
        <v>13</v>
      </c>
      <c r="E8" s="3" t="s">
        <v>13</v>
      </c>
      <c r="F8" s="3" t="s">
        <v>660</v>
      </c>
      <c r="G8" s="3" t="s">
        <v>302</v>
      </c>
      <c r="H8" s="4" t="s">
        <v>832</v>
      </c>
      <c r="I8" s="6">
        <v>3149.64</v>
      </c>
      <c r="J8" s="7">
        <v>4.3000000000000002E-5</v>
      </c>
      <c r="K8" s="5" t="s">
        <v>301</v>
      </c>
      <c r="L8" s="5" t="s">
        <v>221</v>
      </c>
      <c r="M8" s="5" t="s">
        <v>843</v>
      </c>
      <c r="N8" s="5" t="s">
        <v>13</v>
      </c>
      <c r="O8" s="5" t="s">
        <v>221</v>
      </c>
      <c r="P8" s="17"/>
    </row>
    <row r="9" spans="1:16" ht="13.05" customHeight="1" x14ac:dyDescent="0.3">
      <c r="A9" s="3" t="s">
        <v>299</v>
      </c>
      <c r="B9" s="3" t="s">
        <v>300</v>
      </c>
      <c r="C9" s="3" t="s">
        <v>844</v>
      </c>
      <c r="D9" s="3" t="s">
        <v>13</v>
      </c>
      <c r="E9" s="3" t="s">
        <v>13</v>
      </c>
      <c r="F9" s="3" t="s">
        <v>660</v>
      </c>
      <c r="G9" s="3" t="s">
        <v>302</v>
      </c>
      <c r="H9" s="4" t="s">
        <v>832</v>
      </c>
      <c r="I9" s="6">
        <v>7.38</v>
      </c>
      <c r="J9" s="7">
        <v>0</v>
      </c>
      <c r="K9" s="5" t="s">
        <v>301</v>
      </c>
      <c r="L9" s="5" t="s">
        <v>221</v>
      </c>
      <c r="M9" s="5" t="s">
        <v>845</v>
      </c>
      <c r="N9" s="5" t="s">
        <v>13</v>
      </c>
      <c r="O9" s="5" t="s">
        <v>221</v>
      </c>
      <c r="P9" s="17"/>
    </row>
    <row r="10" spans="1:16" ht="13.05" customHeight="1" x14ac:dyDescent="0.3">
      <c r="A10" s="3" t="s">
        <v>299</v>
      </c>
      <c r="B10" s="3" t="s">
        <v>300</v>
      </c>
      <c r="C10" s="3" t="s">
        <v>846</v>
      </c>
      <c r="D10" s="3" t="s">
        <v>13</v>
      </c>
      <c r="E10" s="3" t="s">
        <v>13</v>
      </c>
      <c r="F10" s="3" t="s">
        <v>660</v>
      </c>
      <c r="G10" s="3" t="s">
        <v>302</v>
      </c>
      <c r="H10" s="4" t="s">
        <v>832</v>
      </c>
      <c r="I10" s="6">
        <v>0.02</v>
      </c>
      <c r="J10" s="7">
        <v>0</v>
      </c>
      <c r="K10" s="5" t="s">
        <v>301</v>
      </c>
      <c r="L10" s="5" t="s">
        <v>221</v>
      </c>
      <c r="M10" s="5" t="s">
        <v>847</v>
      </c>
      <c r="N10" s="5" t="s">
        <v>13</v>
      </c>
      <c r="O10" s="5" t="s">
        <v>221</v>
      </c>
      <c r="P10" s="17"/>
    </row>
    <row r="11" spans="1:16" ht="13.05" customHeight="1" x14ac:dyDescent="0.3">
      <c r="A11" s="10" t="s">
        <v>59</v>
      </c>
      <c r="B11" s="10" t="s">
        <v>300</v>
      </c>
      <c r="C11" s="3"/>
      <c r="D11" s="3"/>
      <c r="E11" s="3"/>
      <c r="F11" s="3"/>
      <c r="G11" s="3"/>
      <c r="H11" s="4"/>
      <c r="I11" s="11">
        <v>27292.25</v>
      </c>
      <c r="J11" s="12">
        <v>3.7500000000000001E-4</v>
      </c>
      <c r="K11" s="5"/>
      <c r="L11" s="5"/>
      <c r="M11" s="5"/>
      <c r="N11" s="5"/>
      <c r="O11" s="5"/>
      <c r="P11" s="17"/>
    </row>
    <row r="12" spans="1:16" ht="13.05" customHeight="1" x14ac:dyDescent="0.3">
      <c r="A12" s="3" t="s">
        <v>307</v>
      </c>
      <c r="B12" s="3" t="s">
        <v>308</v>
      </c>
      <c r="C12" s="3" t="s">
        <v>848</v>
      </c>
      <c r="D12" s="3" t="s">
        <v>13</v>
      </c>
      <c r="E12" s="3" t="s">
        <v>13</v>
      </c>
      <c r="F12" s="3" t="s">
        <v>660</v>
      </c>
      <c r="G12" s="3" t="s">
        <v>310</v>
      </c>
      <c r="H12" s="4" t="s">
        <v>849</v>
      </c>
      <c r="I12" s="6">
        <v>-288.64</v>
      </c>
      <c r="J12" s="7">
        <v>-3.9999999999999998E-6</v>
      </c>
      <c r="K12" s="5" t="s">
        <v>309</v>
      </c>
      <c r="L12" s="5" t="s">
        <v>221</v>
      </c>
      <c r="M12" s="5" t="s">
        <v>850</v>
      </c>
      <c r="N12" s="5" t="s">
        <v>13</v>
      </c>
      <c r="O12" s="5" t="s">
        <v>221</v>
      </c>
      <c r="P12" s="17"/>
    </row>
    <row r="13" spans="1:16" ht="13.05" customHeight="1" x14ac:dyDescent="0.3">
      <c r="A13" s="10" t="s">
        <v>59</v>
      </c>
      <c r="B13" s="10" t="s">
        <v>308</v>
      </c>
      <c r="C13" s="3"/>
      <c r="D13" s="3"/>
      <c r="E13" s="3"/>
      <c r="F13" s="3"/>
      <c r="G13" s="3"/>
      <c r="H13" s="4"/>
      <c r="I13" s="11">
        <v>-288.64</v>
      </c>
      <c r="J13" s="12">
        <v>-3.9999999999999998E-6</v>
      </c>
      <c r="K13" s="5"/>
      <c r="L13" s="5"/>
      <c r="M13" s="5"/>
      <c r="N13" s="5"/>
      <c r="O13" s="5"/>
      <c r="P13" s="17"/>
    </row>
    <row r="14" spans="1:16" ht="13.05" customHeight="1" x14ac:dyDescent="0.3">
      <c r="A14" s="3" t="s">
        <v>313</v>
      </c>
      <c r="B14" s="3" t="s">
        <v>106</v>
      </c>
      <c r="C14" s="3" t="s">
        <v>851</v>
      </c>
      <c r="D14" s="3" t="s">
        <v>13</v>
      </c>
      <c r="E14" s="3" t="s">
        <v>13</v>
      </c>
      <c r="F14" s="3" t="s">
        <v>660</v>
      </c>
      <c r="G14" s="3" t="s">
        <v>315</v>
      </c>
      <c r="H14" s="4" t="s">
        <v>832</v>
      </c>
      <c r="I14" s="6">
        <v>32475.59</v>
      </c>
      <c r="J14" s="7">
        <v>4.4700000000000002E-4</v>
      </c>
      <c r="K14" s="5" t="s">
        <v>314</v>
      </c>
      <c r="L14" s="5" t="s">
        <v>221</v>
      </c>
      <c r="M14" s="5" t="s">
        <v>852</v>
      </c>
      <c r="N14" s="5" t="s">
        <v>13</v>
      </c>
      <c r="O14" s="5" t="s">
        <v>221</v>
      </c>
      <c r="P14" s="17"/>
    </row>
    <row r="15" spans="1:16" ht="13.05" customHeight="1" x14ac:dyDescent="0.3">
      <c r="A15" s="3" t="s">
        <v>313</v>
      </c>
      <c r="B15" s="3" t="s">
        <v>106</v>
      </c>
      <c r="C15" s="3" t="s">
        <v>853</v>
      </c>
      <c r="D15" s="3" t="s">
        <v>13</v>
      </c>
      <c r="E15" s="3" t="s">
        <v>13</v>
      </c>
      <c r="F15" s="3" t="s">
        <v>660</v>
      </c>
      <c r="G15" s="3" t="s">
        <v>335</v>
      </c>
      <c r="H15" s="4" t="s">
        <v>849</v>
      </c>
      <c r="I15" s="6">
        <v>-1666.09</v>
      </c>
      <c r="J15" s="7">
        <v>-2.3E-5</v>
      </c>
      <c r="K15" s="5" t="s">
        <v>334</v>
      </c>
      <c r="L15" s="5" t="s">
        <v>221</v>
      </c>
      <c r="M15" s="5" t="s">
        <v>854</v>
      </c>
      <c r="N15" s="5" t="s">
        <v>13</v>
      </c>
      <c r="O15" s="5" t="s">
        <v>221</v>
      </c>
      <c r="P15" s="17"/>
    </row>
    <row r="16" spans="1:16" ht="13.05" customHeight="1" x14ac:dyDescent="0.3">
      <c r="A16" s="3" t="s">
        <v>313</v>
      </c>
      <c r="B16" s="3" t="s">
        <v>106</v>
      </c>
      <c r="C16" s="3" t="s">
        <v>853</v>
      </c>
      <c r="D16" s="3" t="s">
        <v>13</v>
      </c>
      <c r="E16" s="3" t="s">
        <v>13</v>
      </c>
      <c r="F16" s="3" t="s">
        <v>660</v>
      </c>
      <c r="G16" s="3" t="s">
        <v>341</v>
      </c>
      <c r="H16" s="4" t="s">
        <v>849</v>
      </c>
      <c r="I16" s="6">
        <v>-4356.76</v>
      </c>
      <c r="J16" s="7">
        <v>-6.0000000000000002E-5</v>
      </c>
      <c r="K16" s="5" t="s">
        <v>340</v>
      </c>
      <c r="L16" s="5" t="s">
        <v>221</v>
      </c>
      <c r="M16" s="5" t="s">
        <v>854</v>
      </c>
      <c r="N16" s="5" t="s">
        <v>13</v>
      </c>
      <c r="O16" s="5" t="s">
        <v>221</v>
      </c>
      <c r="P16" s="17"/>
    </row>
    <row r="17" spans="1:16" ht="13.05" customHeight="1" x14ac:dyDescent="0.3">
      <c r="A17" s="3" t="s">
        <v>313</v>
      </c>
      <c r="B17" s="3" t="s">
        <v>106</v>
      </c>
      <c r="C17" s="3" t="s">
        <v>855</v>
      </c>
      <c r="D17" s="3" t="s">
        <v>13</v>
      </c>
      <c r="E17" s="3" t="s">
        <v>13</v>
      </c>
      <c r="F17" s="3" t="s">
        <v>660</v>
      </c>
      <c r="G17" s="3" t="s">
        <v>343</v>
      </c>
      <c r="H17" s="4" t="s">
        <v>849</v>
      </c>
      <c r="I17" s="6">
        <v>-6743.9</v>
      </c>
      <c r="J17" s="7">
        <v>-9.2999999999999997E-5</v>
      </c>
      <c r="K17" s="5" t="s">
        <v>342</v>
      </c>
      <c r="L17" s="5" t="s">
        <v>221</v>
      </c>
      <c r="M17" s="5" t="s">
        <v>856</v>
      </c>
      <c r="N17" s="5" t="s">
        <v>13</v>
      </c>
      <c r="O17" s="5" t="s">
        <v>221</v>
      </c>
      <c r="P17" s="17"/>
    </row>
    <row r="18" spans="1:16" ht="13.05" customHeight="1" x14ac:dyDescent="0.3">
      <c r="A18" s="3" t="s">
        <v>313</v>
      </c>
      <c r="B18" s="3" t="s">
        <v>106</v>
      </c>
      <c r="C18" s="3" t="s">
        <v>853</v>
      </c>
      <c r="D18" s="3" t="s">
        <v>13</v>
      </c>
      <c r="E18" s="3" t="s">
        <v>13</v>
      </c>
      <c r="F18" s="3" t="s">
        <v>660</v>
      </c>
      <c r="G18" s="3" t="s">
        <v>351</v>
      </c>
      <c r="H18" s="4" t="s">
        <v>849</v>
      </c>
      <c r="I18" s="6">
        <v>-5611.71</v>
      </c>
      <c r="J18" s="7">
        <v>-7.7000000000000001E-5</v>
      </c>
      <c r="K18" s="5" t="s">
        <v>350</v>
      </c>
      <c r="L18" s="5" t="s">
        <v>221</v>
      </c>
      <c r="M18" s="5" t="s">
        <v>854</v>
      </c>
      <c r="N18" s="5" t="s">
        <v>13</v>
      </c>
      <c r="O18" s="5" t="s">
        <v>221</v>
      </c>
      <c r="P18" s="17"/>
    </row>
    <row r="19" spans="1:16" ht="13.05" customHeight="1" x14ac:dyDescent="0.3">
      <c r="A19" s="3" t="s">
        <v>313</v>
      </c>
      <c r="B19" s="3" t="s">
        <v>106</v>
      </c>
      <c r="C19" s="3" t="s">
        <v>853</v>
      </c>
      <c r="D19" s="3" t="s">
        <v>13</v>
      </c>
      <c r="E19" s="3" t="s">
        <v>13</v>
      </c>
      <c r="F19" s="3" t="s">
        <v>660</v>
      </c>
      <c r="G19" s="3" t="s">
        <v>353</v>
      </c>
      <c r="H19" s="4" t="s">
        <v>849</v>
      </c>
      <c r="I19" s="6">
        <v>-922.49</v>
      </c>
      <c r="J19" s="7">
        <v>-1.2999999999999999E-5</v>
      </c>
      <c r="K19" s="5" t="s">
        <v>352</v>
      </c>
      <c r="L19" s="5" t="s">
        <v>221</v>
      </c>
      <c r="M19" s="5" t="s">
        <v>854</v>
      </c>
      <c r="N19" s="5" t="s">
        <v>13</v>
      </c>
      <c r="O19" s="5" t="s">
        <v>221</v>
      </c>
      <c r="P19" s="17"/>
    </row>
    <row r="20" spans="1:16" ht="13.05" customHeight="1" x14ac:dyDescent="0.3">
      <c r="A20" s="3" t="s">
        <v>313</v>
      </c>
      <c r="B20" s="3" t="s">
        <v>106</v>
      </c>
      <c r="C20" s="3" t="s">
        <v>857</v>
      </c>
      <c r="D20" s="3" t="s">
        <v>13</v>
      </c>
      <c r="E20" s="3" t="s">
        <v>13</v>
      </c>
      <c r="F20" s="3" t="s">
        <v>660</v>
      </c>
      <c r="G20" s="3" t="s">
        <v>355</v>
      </c>
      <c r="H20" s="4" t="s">
        <v>849</v>
      </c>
      <c r="I20" s="6">
        <v>-22477.94</v>
      </c>
      <c r="J20" s="7">
        <v>-3.0899999999999998E-4</v>
      </c>
      <c r="K20" s="5" t="s">
        <v>354</v>
      </c>
      <c r="L20" s="5" t="s">
        <v>221</v>
      </c>
      <c r="M20" s="5" t="s">
        <v>858</v>
      </c>
      <c r="N20" s="5" t="s">
        <v>13</v>
      </c>
      <c r="O20" s="5" t="s">
        <v>221</v>
      </c>
      <c r="P20" s="17"/>
    </row>
    <row r="21" spans="1:16" ht="13.05" customHeight="1" x14ac:dyDescent="0.3">
      <c r="A21" s="3" t="s">
        <v>313</v>
      </c>
      <c r="B21" s="3" t="s">
        <v>106</v>
      </c>
      <c r="C21" s="3" t="s">
        <v>853</v>
      </c>
      <c r="D21" s="3" t="s">
        <v>13</v>
      </c>
      <c r="E21" s="3" t="s">
        <v>13</v>
      </c>
      <c r="F21" s="3" t="s">
        <v>660</v>
      </c>
      <c r="G21" s="3" t="s">
        <v>357</v>
      </c>
      <c r="H21" s="4" t="s">
        <v>849</v>
      </c>
      <c r="I21" s="6">
        <v>-13870</v>
      </c>
      <c r="J21" s="7">
        <v>-1.9100000000000001E-4</v>
      </c>
      <c r="K21" s="5" t="s">
        <v>356</v>
      </c>
      <c r="L21" s="5" t="s">
        <v>221</v>
      </c>
      <c r="M21" s="5" t="s">
        <v>854</v>
      </c>
      <c r="N21" s="5" t="s">
        <v>13</v>
      </c>
      <c r="O21" s="5" t="s">
        <v>221</v>
      </c>
      <c r="P21" s="17"/>
    </row>
    <row r="22" spans="1:16" ht="13.05" customHeight="1" x14ac:dyDescent="0.3">
      <c r="A22" s="10" t="s">
        <v>59</v>
      </c>
      <c r="B22" s="10" t="s">
        <v>106</v>
      </c>
      <c r="C22" s="3"/>
      <c r="D22" s="3"/>
      <c r="E22" s="3"/>
      <c r="F22" s="3"/>
      <c r="G22" s="3"/>
      <c r="H22" s="4"/>
      <c r="I22" s="11">
        <v>-23173.3</v>
      </c>
      <c r="J22" s="12">
        <v>-3.19E-4</v>
      </c>
      <c r="K22" s="5"/>
      <c r="L22" s="5"/>
      <c r="M22" s="5"/>
      <c r="N22" s="5"/>
      <c r="O22" s="5"/>
      <c r="P22" s="17"/>
    </row>
    <row r="23" spans="1:16" ht="13.05" customHeight="1" x14ac:dyDescent="0.3">
      <c r="A23" s="3"/>
      <c r="B23" s="3"/>
      <c r="C23" s="3"/>
      <c r="D23" s="3"/>
      <c r="E23" s="3"/>
      <c r="F23" s="3"/>
      <c r="G23" s="3"/>
      <c r="H23" s="4"/>
      <c r="I23" s="6"/>
      <c r="J23" s="7"/>
      <c r="K23" s="5"/>
      <c r="L23" s="5"/>
      <c r="M23" s="5"/>
      <c r="N23" s="5"/>
      <c r="O23" s="5"/>
      <c r="P23" s="17"/>
    </row>
    <row r="24" spans="1:16" ht="13.05" customHeight="1" x14ac:dyDescent="0.3">
      <c r="A24" s="10" t="s">
        <v>43</v>
      </c>
      <c r="B24" s="10"/>
      <c r="C24" s="3"/>
      <c r="D24" s="3"/>
      <c r="E24" s="3"/>
      <c r="F24" s="3"/>
      <c r="G24" s="3"/>
      <c r="H24" s="4"/>
      <c r="I24" s="11">
        <v>89771.83</v>
      </c>
      <c r="J24" s="12">
        <v>1.235E-3</v>
      </c>
      <c r="K24" s="5"/>
      <c r="L24" s="5"/>
      <c r="M24" s="5"/>
      <c r="N24" s="5"/>
      <c r="O24" s="5"/>
      <c r="P2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4.4" x14ac:dyDescent="0.3"/>
  <cols>
    <col min="1" max="1" width="14" customWidth="1"/>
    <col min="2" max="2" width="28" customWidth="1"/>
    <col min="3" max="8" width="14" customWidth="1"/>
    <col min="9" max="10" width="28" customWidth="1"/>
  </cols>
  <sheetData>
    <row r="1" spans="1:9" ht="24" customHeight="1" x14ac:dyDescent="0.3">
      <c r="A1" s="1" t="s">
        <v>0</v>
      </c>
      <c r="B1" s="1" t="s">
        <v>1</v>
      </c>
      <c r="C1" s="1" t="s">
        <v>859</v>
      </c>
      <c r="D1" s="1" t="s">
        <v>860</v>
      </c>
      <c r="E1" s="1" t="s">
        <v>861</v>
      </c>
      <c r="F1" s="1" t="s">
        <v>862</v>
      </c>
      <c r="G1" s="1" t="s">
        <v>863</v>
      </c>
      <c r="H1" s="1" t="s">
        <v>864</v>
      </c>
      <c r="I1" s="1" t="s">
        <v>865</v>
      </c>
    </row>
    <row r="2" spans="1:9" ht="13.05" customHeight="1" x14ac:dyDescent="0.3">
      <c r="A2" s="3" t="s">
        <v>10</v>
      </c>
      <c r="B2" s="3" t="s">
        <v>11</v>
      </c>
      <c r="C2" s="4" t="s">
        <v>12</v>
      </c>
      <c r="D2" s="4" t="s">
        <v>12</v>
      </c>
      <c r="E2" s="3" t="s">
        <v>13</v>
      </c>
      <c r="F2" s="6">
        <v>1</v>
      </c>
      <c r="G2" s="3" t="s">
        <v>14</v>
      </c>
      <c r="H2" s="6">
        <v>1</v>
      </c>
      <c r="I2" s="7">
        <v>0</v>
      </c>
    </row>
    <row r="3" spans="1:9" ht="13.05" customHeight="1" x14ac:dyDescent="0.3">
      <c r="A3" s="3" t="s">
        <v>10</v>
      </c>
      <c r="B3" s="3" t="s">
        <v>11</v>
      </c>
      <c r="C3" s="4" t="s">
        <v>12</v>
      </c>
      <c r="D3" s="4" t="s">
        <v>216</v>
      </c>
      <c r="E3" s="3" t="s">
        <v>13</v>
      </c>
      <c r="F3" s="6">
        <v>0.82726100000000002</v>
      </c>
      <c r="G3" s="3" t="s">
        <v>14</v>
      </c>
      <c r="H3" s="6">
        <v>0.83054600000000001</v>
      </c>
      <c r="I3" s="7">
        <v>-3.9550000000000002E-3</v>
      </c>
    </row>
    <row r="4" spans="1:9" ht="13.05" customHeight="1" x14ac:dyDescent="0.3">
      <c r="A4" s="3" t="s">
        <v>10</v>
      </c>
      <c r="B4" s="3" t="s">
        <v>11</v>
      </c>
      <c r="C4" s="4" t="s">
        <v>12</v>
      </c>
      <c r="D4" s="4" t="s">
        <v>217</v>
      </c>
      <c r="E4" s="3" t="s">
        <v>13</v>
      </c>
      <c r="F4" s="6">
        <v>1.0354000000000001</v>
      </c>
      <c r="G4" s="3" t="s">
        <v>14</v>
      </c>
      <c r="H4" s="6">
        <v>1.0577000000000001</v>
      </c>
      <c r="I4" s="7">
        <v>-2.1083000000000001E-2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/>
  </sheetViews>
  <sheetFormatPr defaultRowHeight="14.4" x14ac:dyDescent="0.3"/>
  <cols>
    <col min="1" max="2" width="28" customWidth="1"/>
    <col min="3" max="3" width="14" customWidth="1"/>
    <col min="4" max="4" width="28" customWidth="1"/>
    <col min="5" max="6" width="14" customWidth="1"/>
    <col min="7" max="7" width="28" customWidth="1"/>
    <col min="8" max="16" width="14" customWidth="1"/>
  </cols>
  <sheetData>
    <row r="1" spans="1:15" ht="24" customHeight="1" x14ac:dyDescent="0.3">
      <c r="A1" s="1" t="s">
        <v>0</v>
      </c>
      <c r="B1" s="1" t="s">
        <v>1</v>
      </c>
      <c r="C1" s="1" t="s">
        <v>866</v>
      </c>
      <c r="D1" s="1" t="s">
        <v>867</v>
      </c>
      <c r="E1" s="1" t="s">
        <v>22</v>
      </c>
      <c r="F1" s="1" t="s">
        <v>868</v>
      </c>
      <c r="G1" s="1" t="s">
        <v>869</v>
      </c>
      <c r="H1" s="1" t="s">
        <v>870</v>
      </c>
      <c r="I1" s="1" t="s">
        <v>871</v>
      </c>
      <c r="J1" s="1" t="s">
        <v>872</v>
      </c>
      <c r="K1" s="1" t="s">
        <v>873</v>
      </c>
      <c r="L1" s="1" t="s">
        <v>874</v>
      </c>
      <c r="M1" s="1" t="s">
        <v>875</v>
      </c>
      <c r="N1" s="1" t="s">
        <v>876</v>
      </c>
      <c r="O1" s="2" t="s">
        <v>877</v>
      </c>
    </row>
    <row r="2" spans="1:15" ht="24" customHeight="1" x14ac:dyDescent="0.3">
      <c r="A2" s="3" t="s">
        <v>10</v>
      </c>
      <c r="B2" s="3" t="s">
        <v>11</v>
      </c>
      <c r="C2" s="4" t="s">
        <v>12</v>
      </c>
      <c r="D2" s="3" t="s">
        <v>341</v>
      </c>
      <c r="E2" s="4" t="s">
        <v>40</v>
      </c>
      <c r="F2" s="4" t="s">
        <v>12</v>
      </c>
      <c r="G2" s="7">
        <v>0</v>
      </c>
      <c r="H2" s="6">
        <v>627.5</v>
      </c>
      <c r="I2" s="6">
        <v>627.5</v>
      </c>
      <c r="J2" s="6">
        <v>31</v>
      </c>
      <c r="K2" s="6">
        <v>53.29</v>
      </c>
      <c r="L2" s="6">
        <v>53.29</v>
      </c>
      <c r="M2" s="6">
        <v>0</v>
      </c>
      <c r="N2" s="6">
        <v>53.29</v>
      </c>
      <c r="O2" s="5" t="s">
        <v>878</v>
      </c>
    </row>
    <row r="3" spans="1:15" ht="13.05" customHeight="1" x14ac:dyDescent="0.3">
      <c r="A3" s="3" t="s">
        <v>10</v>
      </c>
      <c r="B3" s="3" t="s">
        <v>11</v>
      </c>
      <c r="C3" s="4" t="s">
        <v>12</v>
      </c>
      <c r="D3" s="3" t="s">
        <v>329</v>
      </c>
      <c r="E3" s="4" t="s">
        <v>40</v>
      </c>
      <c r="F3" s="4" t="s">
        <v>12</v>
      </c>
      <c r="G3" s="7">
        <v>0</v>
      </c>
      <c r="H3" s="6">
        <v>4391.1000000000004</v>
      </c>
      <c r="I3" s="6">
        <v>4391.1000000000004</v>
      </c>
      <c r="J3" s="6">
        <v>31</v>
      </c>
      <c r="K3" s="6">
        <v>372.94</v>
      </c>
      <c r="L3" s="6">
        <v>372.94</v>
      </c>
      <c r="M3" s="6">
        <v>0</v>
      </c>
      <c r="N3" s="6">
        <v>372.94</v>
      </c>
      <c r="O3" s="5" t="s">
        <v>879</v>
      </c>
    </row>
    <row r="4" spans="1:15" ht="13.05" customHeight="1" x14ac:dyDescent="0.3">
      <c r="A4" s="3" t="s">
        <v>10</v>
      </c>
      <c r="B4" s="3" t="s">
        <v>11</v>
      </c>
      <c r="C4" s="4" t="s">
        <v>12</v>
      </c>
      <c r="D4" s="3" t="s">
        <v>325</v>
      </c>
      <c r="E4" s="4" t="s">
        <v>40</v>
      </c>
      <c r="F4" s="4" t="s">
        <v>12</v>
      </c>
      <c r="G4" s="7">
        <v>0</v>
      </c>
      <c r="H4" s="6">
        <v>35000</v>
      </c>
      <c r="I4" s="6">
        <v>35000</v>
      </c>
      <c r="J4" s="6">
        <v>31</v>
      </c>
      <c r="K4" s="6">
        <v>2972.6</v>
      </c>
      <c r="L4" s="6">
        <v>2972.6</v>
      </c>
      <c r="M4" s="6">
        <v>0</v>
      </c>
      <c r="N4" s="6">
        <v>2972.6</v>
      </c>
      <c r="O4" s="5" t="s">
        <v>880</v>
      </c>
    </row>
    <row r="5" spans="1:15" ht="13.05" customHeight="1" x14ac:dyDescent="0.3">
      <c r="A5" s="3" t="s">
        <v>10</v>
      </c>
      <c r="B5" s="3" t="s">
        <v>11</v>
      </c>
      <c r="C5" s="4" t="s">
        <v>12</v>
      </c>
      <c r="D5" s="3" t="s">
        <v>881</v>
      </c>
      <c r="E5" s="4" t="s">
        <v>40</v>
      </c>
      <c r="F5" s="4" t="s">
        <v>12</v>
      </c>
      <c r="G5" s="7">
        <v>0</v>
      </c>
      <c r="H5" s="6">
        <v>26653.88</v>
      </c>
      <c r="I5" s="6">
        <v>26653.88</v>
      </c>
      <c r="J5" s="6">
        <v>31</v>
      </c>
      <c r="K5" s="6">
        <v>2263.75</v>
      </c>
      <c r="L5" s="6">
        <v>2263.75</v>
      </c>
      <c r="M5" s="6">
        <v>0</v>
      </c>
      <c r="N5" s="6">
        <v>2263.75</v>
      </c>
      <c r="O5" s="5" t="s">
        <v>882</v>
      </c>
    </row>
    <row r="6" spans="1:15" ht="13.05" customHeight="1" x14ac:dyDescent="0.3">
      <c r="A6" s="3" t="s">
        <v>10</v>
      </c>
      <c r="B6" s="3" t="s">
        <v>11</v>
      </c>
      <c r="C6" s="4" t="s">
        <v>12</v>
      </c>
      <c r="D6" s="3" t="s">
        <v>883</v>
      </c>
      <c r="E6" s="4" t="s">
        <v>40</v>
      </c>
      <c r="F6" s="4" t="s">
        <v>12</v>
      </c>
      <c r="G6" s="7">
        <v>0</v>
      </c>
      <c r="H6" s="6">
        <v>2570</v>
      </c>
      <c r="I6" s="6">
        <v>2570</v>
      </c>
      <c r="J6" s="6">
        <v>31</v>
      </c>
      <c r="K6" s="6">
        <v>218.27</v>
      </c>
      <c r="L6" s="6">
        <v>218.27</v>
      </c>
      <c r="M6" s="6">
        <v>0</v>
      </c>
      <c r="N6" s="6">
        <v>218.27</v>
      </c>
      <c r="O6" s="5" t="s">
        <v>884</v>
      </c>
    </row>
    <row r="7" spans="1:15" ht="13.05" customHeight="1" x14ac:dyDescent="0.3">
      <c r="A7" s="3" t="s">
        <v>10</v>
      </c>
      <c r="B7" s="3" t="s">
        <v>11</v>
      </c>
      <c r="C7" s="4" t="s">
        <v>12</v>
      </c>
      <c r="D7" s="3" t="s">
        <v>885</v>
      </c>
      <c r="E7" s="4" t="s">
        <v>40</v>
      </c>
      <c r="F7" s="4" t="s">
        <v>12</v>
      </c>
      <c r="G7" s="7">
        <v>0</v>
      </c>
      <c r="H7" s="6">
        <v>0</v>
      </c>
      <c r="I7" s="6">
        <v>0</v>
      </c>
      <c r="J7" s="6">
        <v>1827</v>
      </c>
      <c r="K7" s="6">
        <v>0</v>
      </c>
      <c r="L7" s="6">
        <v>0</v>
      </c>
      <c r="M7" s="6">
        <v>0</v>
      </c>
      <c r="N7" s="6">
        <v>0</v>
      </c>
      <c r="O7" s="5" t="s">
        <v>886</v>
      </c>
    </row>
    <row r="8" spans="1:15" ht="13.05" customHeight="1" x14ac:dyDescent="0.3">
      <c r="A8" s="3" t="s">
        <v>10</v>
      </c>
      <c r="B8" s="3" t="s">
        <v>11</v>
      </c>
      <c r="C8" s="4" t="s">
        <v>12</v>
      </c>
      <c r="D8" s="3" t="s">
        <v>333</v>
      </c>
      <c r="E8" s="4" t="s">
        <v>40</v>
      </c>
      <c r="F8" s="4" t="s">
        <v>12</v>
      </c>
      <c r="G8" s="7">
        <v>0</v>
      </c>
      <c r="H8" s="6">
        <v>6723</v>
      </c>
      <c r="I8" s="6">
        <v>6723</v>
      </c>
      <c r="J8" s="6">
        <v>31</v>
      </c>
      <c r="K8" s="6">
        <v>570.99</v>
      </c>
      <c r="L8" s="6">
        <v>570.99</v>
      </c>
      <c r="M8" s="6">
        <v>0</v>
      </c>
      <c r="N8" s="6">
        <v>570.99</v>
      </c>
      <c r="O8" s="5" t="s">
        <v>887</v>
      </c>
    </row>
    <row r="9" spans="1:15" ht="13.05" customHeight="1" x14ac:dyDescent="0.3">
      <c r="A9" s="3" t="s">
        <v>10</v>
      </c>
      <c r="B9" s="3" t="s">
        <v>11</v>
      </c>
      <c r="C9" s="4" t="s">
        <v>12</v>
      </c>
      <c r="D9" s="3" t="s">
        <v>319</v>
      </c>
      <c r="E9" s="4" t="s">
        <v>40</v>
      </c>
      <c r="F9" s="4" t="s">
        <v>12</v>
      </c>
      <c r="G9" s="7">
        <v>0</v>
      </c>
      <c r="H9" s="6">
        <v>3600</v>
      </c>
      <c r="I9" s="6">
        <v>3600</v>
      </c>
      <c r="J9" s="6">
        <v>31</v>
      </c>
      <c r="K9" s="6">
        <v>305.75</v>
      </c>
      <c r="L9" s="6">
        <v>305.75</v>
      </c>
      <c r="M9" s="6">
        <v>0</v>
      </c>
      <c r="N9" s="6">
        <v>305.75</v>
      </c>
      <c r="O9" s="5" t="s">
        <v>888</v>
      </c>
    </row>
    <row r="10" spans="1:15" ht="13.05" customHeight="1" x14ac:dyDescent="0.3">
      <c r="A10" s="3" t="s">
        <v>10</v>
      </c>
      <c r="B10" s="3" t="s">
        <v>11</v>
      </c>
      <c r="C10" s="4" t="s">
        <v>12</v>
      </c>
      <c r="D10" s="3" t="s">
        <v>321</v>
      </c>
      <c r="E10" s="4" t="s">
        <v>40</v>
      </c>
      <c r="F10" s="4" t="s">
        <v>12</v>
      </c>
      <c r="G10" s="7">
        <v>8.0000000000000007E-5</v>
      </c>
      <c r="H10" s="6">
        <v>72682602.909999996</v>
      </c>
      <c r="I10" s="6">
        <v>0</v>
      </c>
      <c r="J10" s="6">
        <v>31</v>
      </c>
      <c r="K10" s="6">
        <v>493.84</v>
      </c>
      <c r="L10" s="6">
        <v>493.84</v>
      </c>
      <c r="M10" s="6">
        <v>0</v>
      </c>
      <c r="N10" s="6">
        <v>493.84</v>
      </c>
      <c r="O10" s="5" t="s">
        <v>889</v>
      </c>
    </row>
    <row r="11" spans="1:15" ht="13.05" customHeight="1" x14ac:dyDescent="0.3">
      <c r="A11" s="3" t="s">
        <v>10</v>
      </c>
      <c r="B11" s="3" t="s">
        <v>11</v>
      </c>
      <c r="C11" s="4" t="s">
        <v>12</v>
      </c>
      <c r="D11" s="3" t="s">
        <v>323</v>
      </c>
      <c r="E11" s="4" t="s">
        <v>40</v>
      </c>
      <c r="F11" s="4" t="s">
        <v>12</v>
      </c>
      <c r="G11" s="7">
        <v>0</v>
      </c>
      <c r="H11" s="6">
        <v>20131</v>
      </c>
      <c r="I11" s="6">
        <v>20131</v>
      </c>
      <c r="J11" s="6">
        <v>31</v>
      </c>
      <c r="K11" s="6">
        <v>1709.76</v>
      </c>
      <c r="L11" s="6">
        <v>1709.76</v>
      </c>
      <c r="M11" s="6">
        <v>0</v>
      </c>
      <c r="N11" s="6">
        <v>1709.76</v>
      </c>
      <c r="O11" s="5" t="s">
        <v>890</v>
      </c>
    </row>
    <row r="12" spans="1:15" ht="13.05" customHeight="1" x14ac:dyDescent="0.3">
      <c r="A12" s="3" t="s">
        <v>10</v>
      </c>
      <c r="B12" s="3" t="s">
        <v>11</v>
      </c>
      <c r="C12" s="4" t="s">
        <v>12</v>
      </c>
      <c r="D12" s="3" t="s">
        <v>891</v>
      </c>
      <c r="E12" s="4" t="s">
        <v>40</v>
      </c>
      <c r="F12" s="4" t="s">
        <v>12</v>
      </c>
      <c r="G12" s="7">
        <v>2.0638000000000001E-4</v>
      </c>
      <c r="H12" s="6">
        <v>72682602.909999996</v>
      </c>
      <c r="I12" s="6">
        <v>0</v>
      </c>
      <c r="J12" s="6">
        <v>30</v>
      </c>
      <c r="K12" s="6">
        <v>1250</v>
      </c>
      <c r="L12" s="6">
        <v>1250</v>
      </c>
      <c r="M12" s="6">
        <v>0</v>
      </c>
      <c r="N12" s="6">
        <v>1250</v>
      </c>
      <c r="O12" s="5" t="s">
        <v>892</v>
      </c>
    </row>
    <row r="13" spans="1:15" ht="13.05" customHeight="1" x14ac:dyDescent="0.3">
      <c r="A13" s="3" t="s">
        <v>10</v>
      </c>
      <c r="B13" s="3" t="s">
        <v>11</v>
      </c>
      <c r="C13" s="4" t="s">
        <v>12</v>
      </c>
      <c r="D13" s="3" t="s">
        <v>347</v>
      </c>
      <c r="E13" s="4" t="s">
        <v>40</v>
      </c>
      <c r="F13" s="4" t="s">
        <v>12</v>
      </c>
      <c r="G13" s="7">
        <v>0</v>
      </c>
      <c r="H13" s="6">
        <v>10036.799999999999</v>
      </c>
      <c r="I13" s="6">
        <v>10036.799999999999</v>
      </c>
      <c r="J13" s="6">
        <v>31</v>
      </c>
      <c r="K13" s="6">
        <v>852.44</v>
      </c>
      <c r="L13" s="6">
        <v>852.44</v>
      </c>
      <c r="M13" s="6">
        <v>0</v>
      </c>
      <c r="N13" s="6">
        <v>852.44</v>
      </c>
      <c r="O13" s="5" t="s">
        <v>893</v>
      </c>
    </row>
    <row r="14" spans="1:15" ht="13.05" customHeight="1" x14ac:dyDescent="0.3">
      <c r="A14" s="3" t="s">
        <v>10</v>
      </c>
      <c r="B14" s="3" t="s">
        <v>11</v>
      </c>
      <c r="C14" s="4" t="s">
        <v>12</v>
      </c>
      <c r="D14" s="3" t="s">
        <v>327</v>
      </c>
      <c r="E14" s="4" t="s">
        <v>40</v>
      </c>
      <c r="F14" s="4" t="s">
        <v>12</v>
      </c>
      <c r="G14" s="7">
        <v>0</v>
      </c>
      <c r="H14" s="6">
        <v>1035.04</v>
      </c>
      <c r="I14" s="6">
        <v>1035.04</v>
      </c>
      <c r="J14" s="6">
        <v>31</v>
      </c>
      <c r="K14" s="6">
        <v>87.91</v>
      </c>
      <c r="L14" s="6">
        <v>87.91</v>
      </c>
      <c r="M14" s="6">
        <v>0</v>
      </c>
      <c r="N14" s="6">
        <v>87.91</v>
      </c>
      <c r="O14" s="5" t="s">
        <v>894</v>
      </c>
    </row>
    <row r="15" spans="1:15" ht="13.05" customHeight="1" x14ac:dyDescent="0.3">
      <c r="A15" s="3" t="s">
        <v>10</v>
      </c>
      <c r="B15" s="3" t="s">
        <v>11</v>
      </c>
      <c r="C15" s="4" t="s">
        <v>12</v>
      </c>
      <c r="D15" s="3" t="s">
        <v>895</v>
      </c>
      <c r="E15" s="4" t="s">
        <v>40</v>
      </c>
      <c r="F15" s="4" t="s">
        <v>12</v>
      </c>
      <c r="G15" s="7">
        <v>0</v>
      </c>
      <c r="H15" s="6">
        <v>922.5</v>
      </c>
      <c r="I15" s="6">
        <v>922.5</v>
      </c>
      <c r="J15" s="6">
        <v>31</v>
      </c>
      <c r="K15" s="6">
        <v>78.349999999999994</v>
      </c>
      <c r="L15" s="6">
        <v>78.349999999999994</v>
      </c>
      <c r="M15" s="6">
        <v>0</v>
      </c>
      <c r="N15" s="6">
        <v>78.349999999999994</v>
      </c>
      <c r="O15" s="5" t="s">
        <v>896</v>
      </c>
    </row>
    <row r="16" spans="1:15" ht="13.05" customHeight="1" x14ac:dyDescent="0.3">
      <c r="A16" s="3" t="s">
        <v>10</v>
      </c>
      <c r="B16" s="3" t="s">
        <v>11</v>
      </c>
      <c r="C16" s="4" t="s">
        <v>12</v>
      </c>
      <c r="D16" s="3" t="s">
        <v>897</v>
      </c>
      <c r="E16" s="4" t="s">
        <v>40</v>
      </c>
      <c r="F16" s="4" t="s">
        <v>12</v>
      </c>
      <c r="G16" s="7">
        <v>5.9999999999999995E-4</v>
      </c>
      <c r="H16" s="6">
        <v>72682602.909999996</v>
      </c>
      <c r="I16" s="6">
        <v>0</v>
      </c>
      <c r="J16" s="6">
        <v>31</v>
      </c>
      <c r="K16" s="6">
        <v>3703.83</v>
      </c>
      <c r="L16" s="6">
        <v>3703.83</v>
      </c>
      <c r="M16" s="6">
        <v>0</v>
      </c>
      <c r="N16" s="6">
        <v>3703.83</v>
      </c>
      <c r="O16" s="5" t="s">
        <v>898</v>
      </c>
    </row>
    <row r="17" spans="1:15" ht="13.05" customHeight="1" x14ac:dyDescent="0.3">
      <c r="A17" s="3" t="s">
        <v>10</v>
      </c>
      <c r="B17" s="3" t="s">
        <v>11</v>
      </c>
      <c r="C17" s="4" t="s">
        <v>12</v>
      </c>
      <c r="D17" s="3" t="s">
        <v>899</v>
      </c>
      <c r="E17" s="4" t="s">
        <v>40</v>
      </c>
      <c r="F17" s="4" t="s">
        <v>12</v>
      </c>
      <c r="G17" s="7">
        <v>0</v>
      </c>
      <c r="H17" s="6">
        <v>750</v>
      </c>
      <c r="I17" s="6">
        <v>750</v>
      </c>
      <c r="J17" s="6">
        <v>31</v>
      </c>
      <c r="K17" s="6">
        <v>63.52</v>
      </c>
      <c r="L17" s="6">
        <v>63.52</v>
      </c>
      <c r="M17" s="6">
        <v>0</v>
      </c>
      <c r="N17" s="6">
        <v>63.52</v>
      </c>
      <c r="O17" s="5" t="s">
        <v>900</v>
      </c>
    </row>
    <row r="18" spans="1:15" ht="13.05" customHeight="1" x14ac:dyDescent="0.3">
      <c r="A18" s="3" t="s">
        <v>10</v>
      </c>
      <c r="B18" s="3" t="s">
        <v>11</v>
      </c>
      <c r="C18" s="4" t="s">
        <v>12</v>
      </c>
      <c r="D18" s="3" t="s">
        <v>901</v>
      </c>
      <c r="E18" s="4" t="s">
        <v>40</v>
      </c>
      <c r="F18" s="4" t="s">
        <v>12</v>
      </c>
      <c r="G18" s="7">
        <v>5.5999999999999999E-3</v>
      </c>
      <c r="H18" s="6">
        <v>72682602.909999996</v>
      </c>
      <c r="I18" s="6">
        <v>0</v>
      </c>
      <c r="J18" s="6">
        <v>31</v>
      </c>
      <c r="K18" s="6">
        <v>34569.040000000001</v>
      </c>
      <c r="L18" s="6">
        <v>34569.040000000001</v>
      </c>
      <c r="M18" s="6">
        <v>0</v>
      </c>
      <c r="N18" s="6">
        <v>34569.040000000001</v>
      </c>
      <c r="O18" s="5" t="s">
        <v>902</v>
      </c>
    </row>
    <row r="19" spans="1:15" ht="13.05" customHeight="1" x14ac:dyDescent="0.3">
      <c r="A19" s="3" t="s">
        <v>10</v>
      </c>
      <c r="B19" s="3" t="s">
        <v>11</v>
      </c>
      <c r="C19" s="4" t="s">
        <v>12</v>
      </c>
      <c r="D19" s="3" t="s">
        <v>317</v>
      </c>
      <c r="E19" s="4" t="s">
        <v>40</v>
      </c>
      <c r="F19" s="4" t="s">
        <v>12</v>
      </c>
      <c r="G19" s="7">
        <v>0</v>
      </c>
      <c r="H19" s="6">
        <v>2700</v>
      </c>
      <c r="I19" s="6">
        <v>2700</v>
      </c>
      <c r="J19" s="6">
        <v>31</v>
      </c>
      <c r="K19" s="6">
        <v>229.32</v>
      </c>
      <c r="L19" s="6">
        <v>229.32</v>
      </c>
      <c r="M19" s="6">
        <v>0</v>
      </c>
      <c r="N19" s="6">
        <v>229.32</v>
      </c>
      <c r="O19" s="5" t="s">
        <v>903</v>
      </c>
    </row>
    <row r="20" spans="1:15" ht="13.05" customHeight="1" x14ac:dyDescent="0.3">
      <c r="A20" s="3" t="s">
        <v>10</v>
      </c>
      <c r="B20" s="3" t="s">
        <v>11</v>
      </c>
      <c r="C20" s="4" t="s">
        <v>12</v>
      </c>
      <c r="D20" s="3" t="s">
        <v>904</v>
      </c>
      <c r="E20" s="4"/>
      <c r="F20" s="4" t="s">
        <v>12</v>
      </c>
      <c r="G20" s="7">
        <v>0</v>
      </c>
      <c r="H20" s="6">
        <v>13837.5</v>
      </c>
      <c r="I20" s="6">
        <v>13837.5</v>
      </c>
      <c r="J20" s="6">
        <v>31</v>
      </c>
      <c r="K20" s="6">
        <v>1175.24</v>
      </c>
      <c r="L20" s="6">
        <v>1175.24</v>
      </c>
      <c r="M20" s="6">
        <v>0</v>
      </c>
      <c r="N20" s="6">
        <v>1175.24</v>
      </c>
      <c r="O20" s="5" t="s">
        <v>905</v>
      </c>
    </row>
    <row r="21" spans="1:15" ht="13.05" customHeight="1" x14ac:dyDescent="0.3">
      <c r="A21" s="3" t="s">
        <v>10</v>
      </c>
      <c r="B21" s="3" t="s">
        <v>11</v>
      </c>
      <c r="C21" s="4" t="s">
        <v>12</v>
      </c>
      <c r="D21" s="3" t="s">
        <v>906</v>
      </c>
      <c r="E21" s="4"/>
      <c r="F21" s="4" t="s">
        <v>12</v>
      </c>
      <c r="G21" s="7">
        <v>0</v>
      </c>
      <c r="H21" s="6">
        <v>12000</v>
      </c>
      <c r="I21" s="6">
        <v>12000</v>
      </c>
      <c r="J21" s="6">
        <v>31</v>
      </c>
      <c r="K21" s="6">
        <v>1019.18</v>
      </c>
      <c r="L21" s="6">
        <v>1019.18</v>
      </c>
      <c r="M21" s="6">
        <v>0</v>
      </c>
      <c r="N21" s="6">
        <v>1019.18</v>
      </c>
      <c r="O21" s="5" t="s">
        <v>907</v>
      </c>
    </row>
    <row r="22" spans="1:15" ht="13.05" customHeight="1" x14ac:dyDescent="0.3">
      <c r="A22" s="3" t="s">
        <v>10</v>
      </c>
      <c r="B22" s="3" t="s">
        <v>11</v>
      </c>
      <c r="C22" s="4" t="s">
        <v>12</v>
      </c>
      <c r="D22" s="3" t="s">
        <v>908</v>
      </c>
      <c r="E22" s="4"/>
      <c r="F22" s="4" t="s">
        <v>12</v>
      </c>
      <c r="G22" s="7">
        <v>0</v>
      </c>
      <c r="H22" s="6">
        <v>12300</v>
      </c>
      <c r="I22" s="6">
        <v>12300</v>
      </c>
      <c r="J22" s="6">
        <v>31</v>
      </c>
      <c r="K22" s="6">
        <v>1029.6400000000001</v>
      </c>
      <c r="L22" s="6">
        <v>1029.6400000000001</v>
      </c>
      <c r="M22" s="6">
        <v>0</v>
      </c>
      <c r="N22" s="6">
        <v>1029.6400000000001</v>
      </c>
      <c r="O22" s="5" t="s">
        <v>909</v>
      </c>
    </row>
    <row r="23" spans="1:15" ht="13.05" customHeight="1" x14ac:dyDescent="0.3">
      <c r="A23" s="3" t="s">
        <v>10</v>
      </c>
      <c r="B23" s="3" t="s">
        <v>11</v>
      </c>
      <c r="C23" s="4" t="s">
        <v>12</v>
      </c>
      <c r="D23" s="3" t="s">
        <v>910</v>
      </c>
      <c r="E23" s="4"/>
      <c r="F23" s="4" t="s">
        <v>12</v>
      </c>
      <c r="G23" s="7">
        <v>0</v>
      </c>
      <c r="H23" s="6">
        <v>11000</v>
      </c>
      <c r="I23" s="6">
        <v>11000</v>
      </c>
      <c r="J23" s="6">
        <v>31</v>
      </c>
      <c r="K23" s="6">
        <v>934.25</v>
      </c>
      <c r="L23" s="6">
        <v>934.25</v>
      </c>
      <c r="M23" s="6">
        <v>0</v>
      </c>
      <c r="N23" s="6">
        <v>934.25</v>
      </c>
      <c r="O23" s="5" t="s">
        <v>911</v>
      </c>
    </row>
    <row r="24" spans="1:15" ht="13.05" customHeight="1" x14ac:dyDescent="0.3">
      <c r="A24" s="3" t="s">
        <v>10</v>
      </c>
      <c r="B24" s="3" t="s">
        <v>11</v>
      </c>
      <c r="C24" s="4" t="s">
        <v>12</v>
      </c>
      <c r="D24" s="3" t="s">
        <v>906</v>
      </c>
      <c r="E24" s="4"/>
      <c r="F24" s="4" t="s">
        <v>12</v>
      </c>
      <c r="G24" s="7">
        <v>0</v>
      </c>
      <c r="H24" s="6">
        <v>6823.5</v>
      </c>
      <c r="I24" s="6">
        <v>6823.5</v>
      </c>
      <c r="J24" s="6">
        <v>31</v>
      </c>
      <c r="K24" s="6">
        <v>579.53</v>
      </c>
      <c r="L24" s="6">
        <v>579.53</v>
      </c>
      <c r="M24" s="6">
        <v>0</v>
      </c>
      <c r="N24" s="6">
        <v>579.53</v>
      </c>
      <c r="O24" s="5" t="s">
        <v>912</v>
      </c>
    </row>
    <row r="25" spans="1:15" ht="13.05" customHeight="1" x14ac:dyDescent="0.3">
      <c r="A25" s="3" t="s">
        <v>10</v>
      </c>
      <c r="B25" s="3" t="s">
        <v>11</v>
      </c>
      <c r="C25" s="4" t="s">
        <v>12</v>
      </c>
      <c r="D25" s="3" t="s">
        <v>906</v>
      </c>
      <c r="E25" s="4"/>
      <c r="F25" s="4" t="s">
        <v>12</v>
      </c>
      <c r="G25" s="7">
        <v>0</v>
      </c>
      <c r="H25" s="6">
        <v>6600</v>
      </c>
      <c r="I25" s="6">
        <v>6600</v>
      </c>
      <c r="J25" s="6">
        <v>31</v>
      </c>
      <c r="K25" s="6">
        <v>560.54999999999995</v>
      </c>
      <c r="L25" s="6">
        <v>560.54999999999995</v>
      </c>
      <c r="M25" s="6">
        <v>0</v>
      </c>
      <c r="N25" s="6">
        <v>560.54999999999995</v>
      </c>
      <c r="O25" s="5" t="s">
        <v>913</v>
      </c>
    </row>
    <row r="26" spans="1:15" ht="13.05" customHeight="1" x14ac:dyDescent="0.3">
      <c r="A26" s="3"/>
      <c r="B26" s="3"/>
      <c r="C26" s="4"/>
      <c r="D26" s="3"/>
      <c r="E26" s="4"/>
      <c r="F26" s="4"/>
      <c r="G26" s="7"/>
      <c r="H26" s="6"/>
      <c r="I26" s="6"/>
      <c r="J26" s="6"/>
      <c r="K26" s="6"/>
      <c r="L26" s="6"/>
      <c r="M26" s="6"/>
      <c r="N26" s="6"/>
      <c r="O26" s="5"/>
    </row>
    <row r="27" spans="1:15" ht="13.05" customHeight="1" x14ac:dyDescent="0.3">
      <c r="A27" s="10" t="s">
        <v>43</v>
      </c>
      <c r="B27" s="3"/>
      <c r="C27" s="4"/>
      <c r="D27" s="3"/>
      <c r="E27" s="4"/>
      <c r="F27" s="4"/>
      <c r="G27" s="7"/>
      <c r="H27" s="6"/>
      <c r="I27" s="6"/>
      <c r="J27" s="6"/>
      <c r="K27" s="11">
        <v>55093.99</v>
      </c>
      <c r="L27" s="11">
        <v>55093.99</v>
      </c>
      <c r="M27" s="6"/>
      <c r="N27" s="11">
        <v>55093.99</v>
      </c>
      <c r="O27" s="5"/>
    </row>
    <row r="29" spans="1:15" ht="13.05" customHeight="1" x14ac:dyDescent="0.3">
      <c r="A29" s="14" t="s">
        <v>914</v>
      </c>
      <c r="B29" s="14" t="s">
        <v>915</v>
      </c>
      <c r="C29" s="14" t="s">
        <v>873</v>
      </c>
      <c r="D29" s="14" t="s">
        <v>874</v>
      </c>
    </row>
    <row r="30" spans="1:15" ht="13.05" customHeight="1" x14ac:dyDescent="0.3">
      <c r="A30" s="3"/>
      <c r="B30" s="3" t="s">
        <v>40</v>
      </c>
      <c r="C30" s="6">
        <v>49795.6</v>
      </c>
      <c r="D30" s="6">
        <v>49795.6</v>
      </c>
    </row>
    <row r="31" spans="1:15" ht="13.05" customHeight="1" x14ac:dyDescent="0.3">
      <c r="A31" s="3"/>
      <c r="B31" s="3" t="s">
        <v>916</v>
      </c>
      <c r="C31" s="6">
        <v>5298.39</v>
      </c>
      <c r="D31" s="6">
        <v>5298.39</v>
      </c>
    </row>
    <row r="32" spans="1:15" ht="13.05" customHeight="1" x14ac:dyDescent="0.3">
      <c r="A32" s="3"/>
      <c r="B32" s="3"/>
      <c r="C32" s="6"/>
      <c r="D32" s="6"/>
    </row>
    <row r="33" spans="1:4" x14ac:dyDescent="0.3">
      <c r="A33" s="10" t="s">
        <v>43</v>
      </c>
      <c r="B33" s="3"/>
      <c r="C33" s="11">
        <v>55093.99</v>
      </c>
      <c r="D33" s="11">
        <v>55093.99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Views>
    <sheetView workbookViewId="0"/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28" customWidth="1"/>
    <col min="5" max="5" width="14" customWidth="1"/>
    <col min="6" max="8" width="28" customWidth="1"/>
    <col min="9" max="12" width="14" customWidth="1"/>
    <col min="13" max="13" width="28" customWidth="1"/>
    <col min="14" max="14" width="14" customWidth="1"/>
    <col min="15" max="19" width="28" customWidth="1"/>
  </cols>
  <sheetData>
    <row r="1" spans="1:18" ht="24" customHeight="1" x14ac:dyDescent="0.3">
      <c r="A1" s="1" t="s">
        <v>917</v>
      </c>
      <c r="B1" s="1" t="s">
        <v>918</v>
      </c>
      <c r="C1" s="1" t="s">
        <v>2</v>
      </c>
      <c r="D1" s="1" t="s">
        <v>919</v>
      </c>
      <c r="E1" s="1" t="s">
        <v>920</v>
      </c>
      <c r="F1" s="1" t="s">
        <v>273</v>
      </c>
      <c r="G1" s="1" t="s">
        <v>921</v>
      </c>
      <c r="H1" s="1" t="s">
        <v>922</v>
      </c>
      <c r="I1" s="1" t="s">
        <v>635</v>
      </c>
      <c r="J1" s="1" t="s">
        <v>636</v>
      </c>
      <c r="K1" s="1" t="s">
        <v>923</v>
      </c>
      <c r="L1" s="1" t="s">
        <v>924</v>
      </c>
      <c r="M1" s="1" t="s">
        <v>925</v>
      </c>
      <c r="N1" s="2" t="s">
        <v>926</v>
      </c>
      <c r="O1" s="2" t="s">
        <v>927</v>
      </c>
      <c r="P1" s="2" t="s">
        <v>272</v>
      </c>
      <c r="Q1" s="2" t="s">
        <v>928</v>
      </c>
      <c r="R1" s="2" t="s">
        <v>283</v>
      </c>
    </row>
    <row r="2" spans="1:18" ht="13.05" customHeight="1" x14ac:dyDescent="0.3">
      <c r="A2" s="3" t="s">
        <v>10</v>
      </c>
      <c r="B2" s="3" t="s">
        <v>11</v>
      </c>
      <c r="C2" s="4" t="s">
        <v>12</v>
      </c>
      <c r="D2" s="3" t="s">
        <v>929</v>
      </c>
      <c r="E2" s="4" t="s">
        <v>12</v>
      </c>
      <c r="F2" s="3" t="s">
        <v>107</v>
      </c>
      <c r="G2" s="3" t="s">
        <v>930</v>
      </c>
      <c r="H2" s="3"/>
      <c r="I2" s="3" t="s">
        <v>931</v>
      </c>
      <c r="J2" s="3" t="s">
        <v>931</v>
      </c>
      <c r="K2" s="6">
        <v>-40909.18</v>
      </c>
      <c r="L2" s="6">
        <v>-40909.18</v>
      </c>
      <c r="M2" s="3" t="s">
        <v>932</v>
      </c>
      <c r="N2" s="18" t="s">
        <v>933</v>
      </c>
      <c r="O2" s="5" t="s">
        <v>221</v>
      </c>
      <c r="P2" s="5" t="s">
        <v>109</v>
      </c>
      <c r="Q2" s="5" t="s">
        <v>934</v>
      </c>
      <c r="R2" s="5" t="s">
        <v>221</v>
      </c>
    </row>
    <row r="3" spans="1:18" ht="13.05" customHeight="1" x14ac:dyDescent="0.3">
      <c r="A3" s="3" t="s">
        <v>10</v>
      </c>
      <c r="B3" s="3" t="s">
        <v>11</v>
      </c>
      <c r="C3" s="4" t="s">
        <v>12</v>
      </c>
      <c r="D3" s="3" t="s">
        <v>929</v>
      </c>
      <c r="E3" s="4" t="s">
        <v>12</v>
      </c>
      <c r="F3" s="3" t="s">
        <v>112</v>
      </c>
      <c r="G3" s="3" t="s">
        <v>935</v>
      </c>
      <c r="H3" s="3"/>
      <c r="I3" s="3" t="s">
        <v>931</v>
      </c>
      <c r="J3" s="3" t="s">
        <v>931</v>
      </c>
      <c r="K3" s="6">
        <v>-228.69</v>
      </c>
      <c r="L3" s="6">
        <v>-228.69</v>
      </c>
      <c r="M3" s="3" t="s">
        <v>936</v>
      </c>
      <c r="N3" s="18" t="s">
        <v>933</v>
      </c>
      <c r="O3" s="5" t="s">
        <v>221</v>
      </c>
      <c r="P3" s="5" t="s">
        <v>113</v>
      </c>
      <c r="Q3" s="5" t="s">
        <v>937</v>
      </c>
      <c r="R3" s="5" t="s">
        <v>221</v>
      </c>
    </row>
    <row r="4" spans="1:18" ht="13.05" customHeight="1" x14ac:dyDescent="0.3">
      <c r="A4" s="3" t="s">
        <v>10</v>
      </c>
      <c r="B4" s="3" t="s">
        <v>11</v>
      </c>
      <c r="C4" s="4" t="s">
        <v>12</v>
      </c>
      <c r="D4" s="3" t="s">
        <v>929</v>
      </c>
      <c r="E4" s="4" t="s">
        <v>12</v>
      </c>
      <c r="F4" s="3" t="s">
        <v>114</v>
      </c>
      <c r="G4" s="3" t="s">
        <v>938</v>
      </c>
      <c r="H4" s="3"/>
      <c r="I4" s="3" t="s">
        <v>931</v>
      </c>
      <c r="J4" s="3" t="s">
        <v>931</v>
      </c>
      <c r="K4" s="6">
        <v>-304.92</v>
      </c>
      <c r="L4" s="6">
        <v>-304.92</v>
      </c>
      <c r="M4" s="3" t="s">
        <v>939</v>
      </c>
      <c r="N4" s="18" t="s">
        <v>933</v>
      </c>
      <c r="O4" s="5" t="s">
        <v>221</v>
      </c>
      <c r="P4" s="5" t="s">
        <v>115</v>
      </c>
      <c r="Q4" s="5" t="s">
        <v>940</v>
      </c>
      <c r="R4" s="5" t="s">
        <v>221</v>
      </c>
    </row>
    <row r="5" spans="1:18" ht="13.05" customHeight="1" x14ac:dyDescent="0.3">
      <c r="A5" s="3" t="s">
        <v>10</v>
      </c>
      <c r="B5" s="3" t="s">
        <v>11</v>
      </c>
      <c r="C5" s="4" t="s">
        <v>12</v>
      </c>
      <c r="D5" s="3" t="s">
        <v>929</v>
      </c>
      <c r="E5" s="4" t="s">
        <v>12</v>
      </c>
      <c r="F5" s="3" t="s">
        <v>118</v>
      </c>
      <c r="G5" s="3" t="s">
        <v>941</v>
      </c>
      <c r="H5" s="3"/>
      <c r="I5" s="3" t="s">
        <v>931</v>
      </c>
      <c r="J5" s="3" t="s">
        <v>931</v>
      </c>
      <c r="K5" s="6">
        <v>-584.41999999999996</v>
      </c>
      <c r="L5" s="6">
        <v>-584.41999999999996</v>
      </c>
      <c r="M5" s="3" t="s">
        <v>942</v>
      </c>
      <c r="N5" s="18" t="s">
        <v>933</v>
      </c>
      <c r="O5" s="5" t="s">
        <v>221</v>
      </c>
      <c r="P5" s="5" t="s">
        <v>119</v>
      </c>
      <c r="Q5" s="5" t="s">
        <v>943</v>
      </c>
      <c r="R5" s="5" t="s">
        <v>221</v>
      </c>
    </row>
    <row r="6" spans="1:18" ht="13.05" customHeight="1" x14ac:dyDescent="0.3">
      <c r="A6" s="3" t="s">
        <v>10</v>
      </c>
      <c r="B6" s="3" t="s">
        <v>11</v>
      </c>
      <c r="C6" s="4" t="s">
        <v>12</v>
      </c>
      <c r="D6" s="3" t="s">
        <v>929</v>
      </c>
      <c r="E6" s="4" t="s">
        <v>12</v>
      </c>
      <c r="F6" s="3" t="s">
        <v>124</v>
      </c>
      <c r="G6" s="3" t="s">
        <v>944</v>
      </c>
      <c r="H6" s="3"/>
      <c r="I6" s="3" t="s">
        <v>931</v>
      </c>
      <c r="J6" s="3" t="s">
        <v>931</v>
      </c>
      <c r="K6" s="6">
        <v>-1705.08</v>
      </c>
      <c r="L6" s="6">
        <v>-1705.08</v>
      </c>
      <c r="M6" s="3" t="s">
        <v>945</v>
      </c>
      <c r="N6" s="18" t="s">
        <v>933</v>
      </c>
      <c r="O6" s="5" t="s">
        <v>221</v>
      </c>
      <c r="P6" s="5" t="s">
        <v>125</v>
      </c>
      <c r="Q6" s="5" t="s">
        <v>946</v>
      </c>
      <c r="R6" s="5" t="s">
        <v>221</v>
      </c>
    </row>
    <row r="7" spans="1:18" ht="13.05" customHeight="1" x14ac:dyDescent="0.3">
      <c r="A7" s="3" t="s">
        <v>10</v>
      </c>
      <c r="B7" s="3" t="s">
        <v>11</v>
      </c>
      <c r="C7" s="4" t="s">
        <v>12</v>
      </c>
      <c r="D7" s="3" t="s">
        <v>929</v>
      </c>
      <c r="E7" s="4" t="s">
        <v>12</v>
      </c>
      <c r="F7" s="3" t="s">
        <v>126</v>
      </c>
      <c r="G7" s="3" t="s">
        <v>947</v>
      </c>
      <c r="H7" s="3"/>
      <c r="I7" s="3" t="s">
        <v>931</v>
      </c>
      <c r="J7" s="3" t="s">
        <v>931</v>
      </c>
      <c r="K7" s="6">
        <v>-2964.48</v>
      </c>
      <c r="L7" s="6">
        <v>-2964.48</v>
      </c>
      <c r="M7" s="3" t="s">
        <v>948</v>
      </c>
      <c r="N7" s="18" t="s">
        <v>933</v>
      </c>
      <c r="O7" s="5" t="s">
        <v>221</v>
      </c>
      <c r="P7" s="5" t="s">
        <v>127</v>
      </c>
      <c r="Q7" s="5" t="s">
        <v>949</v>
      </c>
      <c r="R7" s="5" t="s">
        <v>221</v>
      </c>
    </row>
    <row r="8" spans="1:18" ht="13.05" customHeight="1" x14ac:dyDescent="0.3">
      <c r="A8" s="3" t="s">
        <v>10</v>
      </c>
      <c r="B8" s="3" t="s">
        <v>11</v>
      </c>
      <c r="C8" s="4" t="s">
        <v>12</v>
      </c>
      <c r="D8" s="3" t="s">
        <v>929</v>
      </c>
      <c r="E8" s="4" t="s">
        <v>12</v>
      </c>
      <c r="F8" s="3" t="s">
        <v>132</v>
      </c>
      <c r="G8" s="3" t="s">
        <v>950</v>
      </c>
      <c r="H8" s="3"/>
      <c r="I8" s="3" t="s">
        <v>931</v>
      </c>
      <c r="J8" s="3" t="s">
        <v>931</v>
      </c>
      <c r="K8" s="6">
        <v>-569.42999999999995</v>
      </c>
      <c r="L8" s="6">
        <v>-569.42999999999995</v>
      </c>
      <c r="M8" s="3" t="s">
        <v>951</v>
      </c>
      <c r="N8" s="18" t="s">
        <v>933</v>
      </c>
      <c r="O8" s="5" t="s">
        <v>221</v>
      </c>
      <c r="P8" s="5" t="s">
        <v>133</v>
      </c>
      <c r="Q8" s="5" t="s">
        <v>952</v>
      </c>
      <c r="R8" s="5" t="s">
        <v>221</v>
      </c>
    </row>
    <row r="9" spans="1:18" ht="13.05" customHeight="1" x14ac:dyDescent="0.3">
      <c r="A9" s="3" t="s">
        <v>10</v>
      </c>
      <c r="B9" s="3" t="s">
        <v>11</v>
      </c>
      <c r="C9" s="4" t="s">
        <v>12</v>
      </c>
      <c r="D9" s="3" t="s">
        <v>929</v>
      </c>
      <c r="E9" s="4" t="s">
        <v>12</v>
      </c>
      <c r="F9" s="3" t="s">
        <v>140</v>
      </c>
      <c r="G9" s="3" t="s">
        <v>953</v>
      </c>
      <c r="H9" s="3"/>
      <c r="I9" s="3" t="s">
        <v>931</v>
      </c>
      <c r="J9" s="3" t="s">
        <v>931</v>
      </c>
      <c r="K9" s="6">
        <v>-63.7</v>
      </c>
      <c r="L9" s="6">
        <v>-63.7</v>
      </c>
      <c r="M9" s="3" t="s">
        <v>954</v>
      </c>
      <c r="N9" s="18" t="s">
        <v>933</v>
      </c>
      <c r="O9" s="5" t="s">
        <v>221</v>
      </c>
      <c r="P9" s="5" t="s">
        <v>141</v>
      </c>
      <c r="Q9" s="5" t="s">
        <v>955</v>
      </c>
      <c r="R9" s="5" t="s">
        <v>221</v>
      </c>
    </row>
    <row r="10" spans="1:18" ht="13.05" customHeight="1" x14ac:dyDescent="0.3">
      <c r="A10" s="3" t="s">
        <v>10</v>
      </c>
      <c r="B10" s="3" t="s">
        <v>11</v>
      </c>
      <c r="C10" s="4" t="s">
        <v>12</v>
      </c>
      <c r="D10" s="3" t="s">
        <v>929</v>
      </c>
      <c r="E10" s="4" t="s">
        <v>12</v>
      </c>
      <c r="F10" s="3" t="s">
        <v>146</v>
      </c>
      <c r="G10" s="3" t="s">
        <v>956</v>
      </c>
      <c r="H10" s="3"/>
      <c r="I10" s="3" t="s">
        <v>931</v>
      </c>
      <c r="J10" s="3" t="s">
        <v>931</v>
      </c>
      <c r="K10" s="6">
        <v>-1172.03</v>
      </c>
      <c r="L10" s="6">
        <v>-1172.03</v>
      </c>
      <c r="M10" s="3" t="s">
        <v>957</v>
      </c>
      <c r="N10" s="18" t="s">
        <v>933</v>
      </c>
      <c r="O10" s="5" t="s">
        <v>221</v>
      </c>
      <c r="P10" s="5" t="s">
        <v>147</v>
      </c>
      <c r="Q10" s="5" t="s">
        <v>958</v>
      </c>
      <c r="R10" s="5" t="s">
        <v>221</v>
      </c>
    </row>
    <row r="11" spans="1:18" ht="13.05" customHeight="1" x14ac:dyDescent="0.3">
      <c r="A11" s="3" t="s">
        <v>10</v>
      </c>
      <c r="B11" s="3" t="s">
        <v>11</v>
      </c>
      <c r="C11" s="4" t="s">
        <v>12</v>
      </c>
      <c r="D11" s="3" t="s">
        <v>929</v>
      </c>
      <c r="E11" s="4" t="s">
        <v>12</v>
      </c>
      <c r="F11" s="3" t="s">
        <v>148</v>
      </c>
      <c r="G11" s="3" t="s">
        <v>959</v>
      </c>
      <c r="H11" s="3"/>
      <c r="I11" s="3" t="s">
        <v>931</v>
      </c>
      <c r="J11" s="3" t="s">
        <v>931</v>
      </c>
      <c r="K11" s="6">
        <v>-53.15</v>
      </c>
      <c r="L11" s="6">
        <v>-53.15</v>
      </c>
      <c r="M11" s="3" t="s">
        <v>960</v>
      </c>
      <c r="N11" s="18" t="s">
        <v>933</v>
      </c>
      <c r="O11" s="5" t="s">
        <v>221</v>
      </c>
      <c r="P11" s="5" t="s">
        <v>149</v>
      </c>
      <c r="Q11" s="5" t="s">
        <v>961</v>
      </c>
      <c r="R11" s="5" t="s">
        <v>221</v>
      </c>
    </row>
    <row r="12" spans="1:18" ht="13.05" customHeight="1" x14ac:dyDescent="0.3">
      <c r="A12" s="3" t="s">
        <v>10</v>
      </c>
      <c r="B12" s="3" t="s">
        <v>11</v>
      </c>
      <c r="C12" s="4" t="s">
        <v>12</v>
      </c>
      <c r="D12" s="3" t="s">
        <v>929</v>
      </c>
      <c r="E12" s="4" t="s">
        <v>12</v>
      </c>
      <c r="F12" s="3" t="s">
        <v>154</v>
      </c>
      <c r="G12" s="3" t="s">
        <v>962</v>
      </c>
      <c r="H12" s="3"/>
      <c r="I12" s="3" t="s">
        <v>931</v>
      </c>
      <c r="J12" s="3" t="s">
        <v>931</v>
      </c>
      <c r="K12" s="6">
        <v>-850.11</v>
      </c>
      <c r="L12" s="6">
        <v>-850.11</v>
      </c>
      <c r="M12" s="3" t="s">
        <v>963</v>
      </c>
      <c r="N12" s="18" t="s">
        <v>933</v>
      </c>
      <c r="O12" s="5" t="s">
        <v>221</v>
      </c>
      <c r="P12" s="5" t="s">
        <v>155</v>
      </c>
      <c r="Q12" s="5" t="s">
        <v>964</v>
      </c>
      <c r="R12" s="5" t="s">
        <v>221</v>
      </c>
    </row>
    <row r="13" spans="1:18" ht="13.05" customHeight="1" x14ac:dyDescent="0.3">
      <c r="A13" s="3" t="s">
        <v>10</v>
      </c>
      <c r="B13" s="3" t="s">
        <v>11</v>
      </c>
      <c r="C13" s="4" t="s">
        <v>12</v>
      </c>
      <c r="D13" s="3" t="s">
        <v>929</v>
      </c>
      <c r="E13" s="4" t="s">
        <v>12</v>
      </c>
      <c r="F13" s="3" t="s">
        <v>174</v>
      </c>
      <c r="G13" s="3" t="s">
        <v>965</v>
      </c>
      <c r="H13" s="3"/>
      <c r="I13" s="3" t="s">
        <v>931</v>
      </c>
      <c r="J13" s="3" t="s">
        <v>931</v>
      </c>
      <c r="K13" s="6">
        <v>-577.95000000000005</v>
      </c>
      <c r="L13" s="6">
        <v>-577.95000000000005</v>
      </c>
      <c r="M13" s="3" t="s">
        <v>966</v>
      </c>
      <c r="N13" s="18" t="s">
        <v>933</v>
      </c>
      <c r="O13" s="5" t="s">
        <v>221</v>
      </c>
      <c r="P13" s="5" t="s">
        <v>175</v>
      </c>
      <c r="Q13" s="5" t="s">
        <v>967</v>
      </c>
      <c r="R13" s="5" t="s">
        <v>221</v>
      </c>
    </row>
    <row r="14" spans="1:18" ht="13.05" customHeight="1" x14ac:dyDescent="0.3">
      <c r="A14" s="3" t="s">
        <v>10</v>
      </c>
      <c r="B14" s="3" t="s">
        <v>11</v>
      </c>
      <c r="C14" s="4" t="s">
        <v>12</v>
      </c>
      <c r="D14" s="3" t="s">
        <v>929</v>
      </c>
      <c r="E14" s="4" t="s">
        <v>12</v>
      </c>
      <c r="F14" s="3" t="s">
        <v>174</v>
      </c>
      <c r="G14" s="3" t="s">
        <v>968</v>
      </c>
      <c r="H14" s="3"/>
      <c r="I14" s="3" t="s">
        <v>931</v>
      </c>
      <c r="J14" s="3" t="s">
        <v>931</v>
      </c>
      <c r="K14" s="6">
        <v>-559.02</v>
      </c>
      <c r="L14" s="6">
        <v>-559.02</v>
      </c>
      <c r="M14" s="3" t="s">
        <v>969</v>
      </c>
      <c r="N14" s="18" t="s">
        <v>933</v>
      </c>
      <c r="O14" s="5" t="s">
        <v>221</v>
      </c>
      <c r="P14" s="5" t="s">
        <v>175</v>
      </c>
      <c r="Q14" s="5" t="s">
        <v>970</v>
      </c>
      <c r="R14" s="5" t="s">
        <v>221</v>
      </c>
    </row>
    <row r="15" spans="1:18" ht="13.05" customHeight="1" x14ac:dyDescent="0.3">
      <c r="A15" s="3" t="s">
        <v>10</v>
      </c>
      <c r="B15" s="3" t="s">
        <v>11</v>
      </c>
      <c r="C15" s="4" t="s">
        <v>12</v>
      </c>
      <c r="D15" s="3" t="s">
        <v>929</v>
      </c>
      <c r="E15" s="4" t="s">
        <v>12</v>
      </c>
      <c r="F15" s="3" t="s">
        <v>176</v>
      </c>
      <c r="G15" s="3" t="s">
        <v>971</v>
      </c>
      <c r="H15" s="3"/>
      <c r="I15" s="3" t="s">
        <v>931</v>
      </c>
      <c r="J15" s="3" t="s">
        <v>931</v>
      </c>
      <c r="K15" s="6">
        <v>-2257.5700000000002</v>
      </c>
      <c r="L15" s="6">
        <v>-2257.5700000000002</v>
      </c>
      <c r="M15" s="3" t="s">
        <v>972</v>
      </c>
      <c r="N15" s="18" t="s">
        <v>933</v>
      </c>
      <c r="O15" s="5" t="s">
        <v>221</v>
      </c>
      <c r="P15" s="5" t="s">
        <v>177</v>
      </c>
      <c r="Q15" s="5" t="s">
        <v>973</v>
      </c>
      <c r="R15" s="5" t="s">
        <v>221</v>
      </c>
    </row>
    <row r="16" spans="1:18" ht="13.05" customHeight="1" x14ac:dyDescent="0.3">
      <c r="A16" s="3" t="s">
        <v>10</v>
      </c>
      <c r="B16" s="3" t="s">
        <v>11</v>
      </c>
      <c r="C16" s="4" t="s">
        <v>12</v>
      </c>
      <c r="D16" s="3" t="s">
        <v>929</v>
      </c>
      <c r="E16" s="4" t="s">
        <v>12</v>
      </c>
      <c r="F16" s="3" t="s">
        <v>183</v>
      </c>
      <c r="G16" s="3" t="s">
        <v>974</v>
      </c>
      <c r="H16" s="3"/>
      <c r="I16" s="3" t="s">
        <v>931</v>
      </c>
      <c r="J16" s="3" t="s">
        <v>931</v>
      </c>
      <c r="K16" s="6">
        <v>-371.92</v>
      </c>
      <c r="L16" s="6">
        <v>-371.92</v>
      </c>
      <c r="M16" s="3" t="s">
        <v>975</v>
      </c>
      <c r="N16" s="18" t="s">
        <v>933</v>
      </c>
      <c r="O16" s="5" t="s">
        <v>221</v>
      </c>
      <c r="P16" s="5" t="s">
        <v>184</v>
      </c>
      <c r="Q16" s="5" t="s">
        <v>976</v>
      </c>
      <c r="R16" s="5" t="s">
        <v>221</v>
      </c>
    </row>
    <row r="17" spans="1:18" ht="13.05" customHeight="1" x14ac:dyDescent="0.3">
      <c r="A17" s="3" t="s">
        <v>10</v>
      </c>
      <c r="B17" s="3" t="s">
        <v>11</v>
      </c>
      <c r="C17" s="4" t="s">
        <v>12</v>
      </c>
      <c r="D17" s="3" t="s">
        <v>929</v>
      </c>
      <c r="E17" s="4" t="s">
        <v>12</v>
      </c>
      <c r="F17" s="3" t="s">
        <v>185</v>
      </c>
      <c r="G17" s="3" t="s">
        <v>977</v>
      </c>
      <c r="H17" s="3"/>
      <c r="I17" s="3" t="s">
        <v>931</v>
      </c>
      <c r="J17" s="3" t="s">
        <v>931</v>
      </c>
      <c r="K17" s="6">
        <v>-217.68</v>
      </c>
      <c r="L17" s="6">
        <v>-217.68</v>
      </c>
      <c r="M17" s="3" t="s">
        <v>978</v>
      </c>
      <c r="N17" s="18" t="s">
        <v>933</v>
      </c>
      <c r="O17" s="5" t="s">
        <v>221</v>
      </c>
      <c r="P17" s="5" t="s">
        <v>186</v>
      </c>
      <c r="Q17" s="5" t="s">
        <v>979</v>
      </c>
      <c r="R17" s="5" t="s">
        <v>221</v>
      </c>
    </row>
    <row r="18" spans="1:18" ht="13.05" customHeight="1" x14ac:dyDescent="0.3">
      <c r="A18" s="3" t="s">
        <v>10</v>
      </c>
      <c r="B18" s="3" t="s">
        <v>11</v>
      </c>
      <c r="C18" s="4" t="s">
        <v>12</v>
      </c>
      <c r="D18" s="3" t="s">
        <v>929</v>
      </c>
      <c r="E18" s="4" t="s">
        <v>12</v>
      </c>
      <c r="F18" s="3" t="s">
        <v>187</v>
      </c>
      <c r="G18" s="3" t="s">
        <v>980</v>
      </c>
      <c r="H18" s="3"/>
      <c r="I18" s="3" t="s">
        <v>931</v>
      </c>
      <c r="J18" s="3" t="s">
        <v>931</v>
      </c>
      <c r="K18" s="6">
        <v>-381.15</v>
      </c>
      <c r="L18" s="6">
        <v>-381.15</v>
      </c>
      <c r="M18" s="3" t="s">
        <v>981</v>
      </c>
      <c r="N18" s="18" t="s">
        <v>933</v>
      </c>
      <c r="O18" s="5" t="s">
        <v>221</v>
      </c>
      <c r="P18" s="5" t="s">
        <v>188</v>
      </c>
      <c r="Q18" s="5" t="s">
        <v>982</v>
      </c>
      <c r="R18" s="5" t="s">
        <v>221</v>
      </c>
    </row>
    <row r="19" spans="1:18" ht="13.05" customHeight="1" x14ac:dyDescent="0.3">
      <c r="A19" s="3" t="s">
        <v>10</v>
      </c>
      <c r="B19" s="3" t="s">
        <v>11</v>
      </c>
      <c r="C19" s="4" t="s">
        <v>12</v>
      </c>
      <c r="D19" s="3" t="s">
        <v>929</v>
      </c>
      <c r="E19" s="4" t="s">
        <v>12</v>
      </c>
      <c r="F19" s="3" t="s">
        <v>193</v>
      </c>
      <c r="G19" s="3" t="s">
        <v>983</v>
      </c>
      <c r="H19" s="3"/>
      <c r="I19" s="3" t="s">
        <v>931</v>
      </c>
      <c r="J19" s="3" t="s">
        <v>931</v>
      </c>
      <c r="K19" s="6">
        <v>-78.14</v>
      </c>
      <c r="L19" s="6">
        <v>-78.14</v>
      </c>
      <c r="M19" s="3" t="s">
        <v>984</v>
      </c>
      <c r="N19" s="18" t="s">
        <v>933</v>
      </c>
      <c r="O19" s="5" t="s">
        <v>221</v>
      </c>
      <c r="P19" s="5" t="s">
        <v>194</v>
      </c>
      <c r="Q19" s="5" t="s">
        <v>985</v>
      </c>
      <c r="R19" s="5" t="s">
        <v>221</v>
      </c>
    </row>
    <row r="20" spans="1:18" ht="13.05" customHeight="1" x14ac:dyDescent="0.3">
      <c r="A20" s="3" t="s">
        <v>10</v>
      </c>
      <c r="B20" s="3" t="s">
        <v>11</v>
      </c>
      <c r="C20" s="4" t="s">
        <v>12</v>
      </c>
      <c r="D20" s="3" t="s">
        <v>929</v>
      </c>
      <c r="E20" s="4" t="s">
        <v>12</v>
      </c>
      <c r="F20" s="3" t="s">
        <v>197</v>
      </c>
      <c r="G20" s="3" t="s">
        <v>986</v>
      </c>
      <c r="H20" s="3"/>
      <c r="I20" s="3" t="s">
        <v>931</v>
      </c>
      <c r="J20" s="3" t="s">
        <v>931</v>
      </c>
      <c r="K20" s="6">
        <v>-87.67</v>
      </c>
      <c r="L20" s="6">
        <v>-87.67</v>
      </c>
      <c r="M20" s="3" t="s">
        <v>987</v>
      </c>
      <c r="N20" s="18" t="s">
        <v>933</v>
      </c>
      <c r="O20" s="5" t="s">
        <v>221</v>
      </c>
      <c r="P20" s="5" t="s">
        <v>198</v>
      </c>
      <c r="Q20" s="5" t="s">
        <v>988</v>
      </c>
      <c r="R20" s="5" t="s">
        <v>221</v>
      </c>
    </row>
    <row r="21" spans="1:18" ht="13.05" customHeight="1" x14ac:dyDescent="0.3">
      <c r="A21" s="3" t="s">
        <v>10</v>
      </c>
      <c r="B21" s="3" t="s">
        <v>11</v>
      </c>
      <c r="C21" s="4" t="s">
        <v>12</v>
      </c>
      <c r="D21" s="3" t="s">
        <v>929</v>
      </c>
      <c r="E21" s="4" t="s">
        <v>12</v>
      </c>
      <c r="F21" s="3" t="s">
        <v>107</v>
      </c>
      <c r="G21" s="3" t="s">
        <v>989</v>
      </c>
      <c r="H21" s="3"/>
      <c r="I21" s="3" t="s">
        <v>990</v>
      </c>
      <c r="J21" s="3" t="s">
        <v>990</v>
      </c>
      <c r="K21" s="6">
        <v>-40190</v>
      </c>
      <c r="L21" s="6">
        <v>-40190</v>
      </c>
      <c r="M21" s="3" t="s">
        <v>991</v>
      </c>
      <c r="N21" s="18" t="s">
        <v>933</v>
      </c>
      <c r="O21" s="5" t="s">
        <v>221</v>
      </c>
      <c r="P21" s="5" t="s">
        <v>109</v>
      </c>
      <c r="Q21" s="5" t="s">
        <v>992</v>
      </c>
      <c r="R21" s="5" t="s">
        <v>221</v>
      </c>
    </row>
    <row r="22" spans="1:18" ht="13.05" customHeight="1" x14ac:dyDescent="0.3">
      <c r="A22" s="3" t="s">
        <v>10</v>
      </c>
      <c r="B22" s="3" t="s">
        <v>11</v>
      </c>
      <c r="C22" s="4" t="s">
        <v>12</v>
      </c>
      <c r="D22" s="3" t="s">
        <v>929</v>
      </c>
      <c r="E22" s="4" t="s">
        <v>12</v>
      </c>
      <c r="F22" s="3" t="s">
        <v>112</v>
      </c>
      <c r="G22" s="3" t="s">
        <v>935</v>
      </c>
      <c r="H22" s="3"/>
      <c r="I22" s="3" t="s">
        <v>990</v>
      </c>
      <c r="J22" s="3" t="s">
        <v>990</v>
      </c>
      <c r="K22" s="6">
        <v>-228.69</v>
      </c>
      <c r="L22" s="6">
        <v>-228.69</v>
      </c>
      <c r="M22" s="3" t="s">
        <v>993</v>
      </c>
      <c r="N22" s="18" t="s">
        <v>933</v>
      </c>
      <c r="O22" s="5" t="s">
        <v>221</v>
      </c>
      <c r="P22" s="5" t="s">
        <v>113</v>
      </c>
      <c r="Q22" s="5" t="s">
        <v>994</v>
      </c>
      <c r="R22" s="5" t="s">
        <v>221</v>
      </c>
    </row>
    <row r="23" spans="1:18" ht="13.05" customHeight="1" x14ac:dyDescent="0.3">
      <c r="A23" s="3" t="s">
        <v>10</v>
      </c>
      <c r="B23" s="3" t="s">
        <v>11</v>
      </c>
      <c r="C23" s="4" t="s">
        <v>12</v>
      </c>
      <c r="D23" s="3" t="s">
        <v>929</v>
      </c>
      <c r="E23" s="4" t="s">
        <v>12</v>
      </c>
      <c r="F23" s="3" t="s">
        <v>114</v>
      </c>
      <c r="G23" s="3" t="s">
        <v>938</v>
      </c>
      <c r="H23" s="3"/>
      <c r="I23" s="3" t="s">
        <v>990</v>
      </c>
      <c r="J23" s="3" t="s">
        <v>990</v>
      </c>
      <c r="K23" s="6">
        <v>-304.92</v>
      </c>
      <c r="L23" s="6">
        <v>-304.92</v>
      </c>
      <c r="M23" s="3" t="s">
        <v>995</v>
      </c>
      <c r="N23" s="18" t="s">
        <v>933</v>
      </c>
      <c r="O23" s="5" t="s">
        <v>221</v>
      </c>
      <c r="P23" s="5" t="s">
        <v>115</v>
      </c>
      <c r="Q23" s="5" t="s">
        <v>996</v>
      </c>
      <c r="R23" s="5" t="s">
        <v>221</v>
      </c>
    </row>
    <row r="24" spans="1:18" ht="13.05" customHeight="1" x14ac:dyDescent="0.3">
      <c r="A24" s="3" t="s">
        <v>10</v>
      </c>
      <c r="B24" s="3" t="s">
        <v>11</v>
      </c>
      <c r="C24" s="4" t="s">
        <v>12</v>
      </c>
      <c r="D24" s="3" t="s">
        <v>929</v>
      </c>
      <c r="E24" s="4" t="s">
        <v>12</v>
      </c>
      <c r="F24" s="3" t="s">
        <v>118</v>
      </c>
      <c r="G24" s="3" t="s">
        <v>997</v>
      </c>
      <c r="H24" s="3"/>
      <c r="I24" s="3" t="s">
        <v>990</v>
      </c>
      <c r="J24" s="3" t="s">
        <v>990</v>
      </c>
      <c r="K24" s="6">
        <v>-574.14</v>
      </c>
      <c r="L24" s="6">
        <v>-574.14</v>
      </c>
      <c r="M24" s="3" t="s">
        <v>998</v>
      </c>
      <c r="N24" s="18" t="s">
        <v>933</v>
      </c>
      <c r="O24" s="5" t="s">
        <v>221</v>
      </c>
      <c r="P24" s="5" t="s">
        <v>119</v>
      </c>
      <c r="Q24" s="5" t="s">
        <v>999</v>
      </c>
      <c r="R24" s="5" t="s">
        <v>221</v>
      </c>
    </row>
    <row r="25" spans="1:18" ht="13.05" customHeight="1" x14ac:dyDescent="0.3">
      <c r="A25" s="3" t="s">
        <v>10</v>
      </c>
      <c r="B25" s="3" t="s">
        <v>11</v>
      </c>
      <c r="C25" s="4" t="s">
        <v>12</v>
      </c>
      <c r="D25" s="3" t="s">
        <v>929</v>
      </c>
      <c r="E25" s="4" t="s">
        <v>12</v>
      </c>
      <c r="F25" s="3" t="s">
        <v>126</v>
      </c>
      <c r="G25" s="3" t="s">
        <v>947</v>
      </c>
      <c r="H25" s="3"/>
      <c r="I25" s="3" t="s">
        <v>990</v>
      </c>
      <c r="J25" s="3" t="s">
        <v>990</v>
      </c>
      <c r="K25" s="6">
        <v>-2964.48</v>
      </c>
      <c r="L25" s="6">
        <v>-2964.48</v>
      </c>
      <c r="M25" s="3" t="s">
        <v>1000</v>
      </c>
      <c r="N25" s="18" t="s">
        <v>933</v>
      </c>
      <c r="O25" s="5" t="s">
        <v>221</v>
      </c>
      <c r="P25" s="5" t="s">
        <v>127</v>
      </c>
      <c r="Q25" s="5" t="s">
        <v>1001</v>
      </c>
      <c r="R25" s="5" t="s">
        <v>221</v>
      </c>
    </row>
    <row r="26" spans="1:18" ht="13.05" customHeight="1" x14ac:dyDescent="0.3">
      <c r="A26" s="3" t="s">
        <v>10</v>
      </c>
      <c r="B26" s="3" t="s">
        <v>11</v>
      </c>
      <c r="C26" s="4" t="s">
        <v>12</v>
      </c>
      <c r="D26" s="3" t="s">
        <v>929</v>
      </c>
      <c r="E26" s="4" t="s">
        <v>12</v>
      </c>
      <c r="F26" s="3" t="s">
        <v>132</v>
      </c>
      <c r="G26" s="3" t="s">
        <v>950</v>
      </c>
      <c r="H26" s="3"/>
      <c r="I26" s="3" t="s">
        <v>990</v>
      </c>
      <c r="J26" s="3" t="s">
        <v>990</v>
      </c>
      <c r="K26" s="6">
        <v>-569.42999999999995</v>
      </c>
      <c r="L26" s="6">
        <v>-569.42999999999995</v>
      </c>
      <c r="M26" s="3" t="s">
        <v>1002</v>
      </c>
      <c r="N26" s="18" t="s">
        <v>933</v>
      </c>
      <c r="O26" s="5" t="s">
        <v>221</v>
      </c>
      <c r="P26" s="5" t="s">
        <v>133</v>
      </c>
      <c r="Q26" s="5" t="s">
        <v>1003</v>
      </c>
      <c r="R26" s="5" t="s">
        <v>221</v>
      </c>
    </row>
    <row r="27" spans="1:18" ht="13.05" customHeight="1" x14ac:dyDescent="0.3">
      <c r="A27" s="3" t="s">
        <v>10</v>
      </c>
      <c r="B27" s="3" t="s">
        <v>11</v>
      </c>
      <c r="C27" s="4" t="s">
        <v>12</v>
      </c>
      <c r="D27" s="3" t="s">
        <v>929</v>
      </c>
      <c r="E27" s="4" t="s">
        <v>12</v>
      </c>
      <c r="F27" s="3" t="s">
        <v>140</v>
      </c>
      <c r="G27" s="3" t="s">
        <v>1004</v>
      </c>
      <c r="H27" s="3"/>
      <c r="I27" s="3" t="s">
        <v>990</v>
      </c>
      <c r="J27" s="3" t="s">
        <v>990</v>
      </c>
      <c r="K27" s="6">
        <v>-63.52</v>
      </c>
      <c r="L27" s="6">
        <v>-63.52</v>
      </c>
      <c r="M27" s="3" t="s">
        <v>1005</v>
      </c>
      <c r="N27" s="18" t="s">
        <v>933</v>
      </c>
      <c r="O27" s="5" t="s">
        <v>221</v>
      </c>
      <c r="P27" s="5" t="s">
        <v>141</v>
      </c>
      <c r="Q27" s="5" t="s">
        <v>1006</v>
      </c>
      <c r="R27" s="5" t="s">
        <v>221</v>
      </c>
    </row>
    <row r="28" spans="1:18" ht="13.05" customHeight="1" x14ac:dyDescent="0.3">
      <c r="A28" s="3" t="s">
        <v>10</v>
      </c>
      <c r="B28" s="3" t="s">
        <v>11</v>
      </c>
      <c r="C28" s="4" t="s">
        <v>12</v>
      </c>
      <c r="D28" s="3" t="s">
        <v>929</v>
      </c>
      <c r="E28" s="4" t="s">
        <v>12</v>
      </c>
      <c r="F28" s="3" t="s">
        <v>144</v>
      </c>
      <c r="G28" s="3" t="s">
        <v>1007</v>
      </c>
      <c r="H28" s="3"/>
      <c r="I28" s="3" t="s">
        <v>990</v>
      </c>
      <c r="J28" s="3" t="s">
        <v>990</v>
      </c>
      <c r="K28" s="6">
        <v>-4306.07</v>
      </c>
      <c r="L28" s="6">
        <v>-4306.07</v>
      </c>
      <c r="M28" s="3" t="s">
        <v>1008</v>
      </c>
      <c r="N28" s="18" t="s">
        <v>933</v>
      </c>
      <c r="O28" s="5" t="s">
        <v>221</v>
      </c>
      <c r="P28" s="5" t="s">
        <v>145</v>
      </c>
      <c r="Q28" s="5" t="s">
        <v>1009</v>
      </c>
      <c r="R28" s="5" t="s">
        <v>221</v>
      </c>
    </row>
    <row r="29" spans="1:18" ht="13.05" customHeight="1" x14ac:dyDescent="0.3">
      <c r="A29" s="3" t="s">
        <v>10</v>
      </c>
      <c r="B29" s="3" t="s">
        <v>11</v>
      </c>
      <c r="C29" s="4" t="s">
        <v>12</v>
      </c>
      <c r="D29" s="3" t="s">
        <v>929</v>
      </c>
      <c r="E29" s="4" t="s">
        <v>12</v>
      </c>
      <c r="F29" s="3" t="s">
        <v>146</v>
      </c>
      <c r="G29" s="3" t="s">
        <v>956</v>
      </c>
      <c r="H29" s="3"/>
      <c r="I29" s="3" t="s">
        <v>990</v>
      </c>
      <c r="J29" s="3" t="s">
        <v>990</v>
      </c>
      <c r="K29" s="6">
        <v>-1172.03</v>
      </c>
      <c r="L29" s="6">
        <v>-1172.03</v>
      </c>
      <c r="M29" s="3" t="s">
        <v>1010</v>
      </c>
      <c r="N29" s="18" t="s">
        <v>933</v>
      </c>
      <c r="O29" s="5" t="s">
        <v>221</v>
      </c>
      <c r="P29" s="5" t="s">
        <v>147</v>
      </c>
      <c r="Q29" s="5" t="s">
        <v>1011</v>
      </c>
      <c r="R29" s="5" t="s">
        <v>221</v>
      </c>
    </row>
    <row r="30" spans="1:18" ht="13.05" customHeight="1" x14ac:dyDescent="0.3">
      <c r="A30" s="3" t="s">
        <v>10</v>
      </c>
      <c r="B30" s="3" t="s">
        <v>11</v>
      </c>
      <c r="C30" s="4" t="s">
        <v>12</v>
      </c>
      <c r="D30" s="3" t="s">
        <v>929</v>
      </c>
      <c r="E30" s="4" t="s">
        <v>12</v>
      </c>
      <c r="F30" s="3" t="s">
        <v>148</v>
      </c>
      <c r="G30" s="3" t="s">
        <v>959</v>
      </c>
      <c r="H30" s="3"/>
      <c r="I30" s="3" t="s">
        <v>990</v>
      </c>
      <c r="J30" s="3" t="s">
        <v>990</v>
      </c>
      <c r="K30" s="6">
        <v>-53.15</v>
      </c>
      <c r="L30" s="6">
        <v>-53.15</v>
      </c>
      <c r="M30" s="3" t="s">
        <v>1012</v>
      </c>
      <c r="N30" s="18" t="s">
        <v>933</v>
      </c>
      <c r="O30" s="5" t="s">
        <v>221</v>
      </c>
      <c r="P30" s="5" t="s">
        <v>149</v>
      </c>
      <c r="Q30" s="5" t="s">
        <v>1013</v>
      </c>
      <c r="R30" s="5" t="s">
        <v>221</v>
      </c>
    </row>
    <row r="31" spans="1:18" ht="13.05" customHeight="1" x14ac:dyDescent="0.3">
      <c r="A31" s="3" t="s">
        <v>10</v>
      </c>
      <c r="B31" s="3" t="s">
        <v>11</v>
      </c>
      <c r="C31" s="4" t="s">
        <v>12</v>
      </c>
      <c r="D31" s="3" t="s">
        <v>929</v>
      </c>
      <c r="E31" s="4" t="s">
        <v>12</v>
      </c>
      <c r="F31" s="3" t="s">
        <v>150</v>
      </c>
      <c r="G31" s="3" t="s">
        <v>1014</v>
      </c>
      <c r="H31" s="3"/>
      <c r="I31" s="3" t="s">
        <v>990</v>
      </c>
      <c r="J31" s="3" t="s">
        <v>990</v>
      </c>
      <c r="K31" s="6">
        <v>-931.69</v>
      </c>
      <c r="L31" s="6">
        <v>-931.69</v>
      </c>
      <c r="M31" s="3" t="s">
        <v>1015</v>
      </c>
      <c r="N31" s="18" t="s">
        <v>933</v>
      </c>
      <c r="O31" s="5" t="s">
        <v>221</v>
      </c>
      <c r="P31" s="5" t="s">
        <v>151</v>
      </c>
      <c r="Q31" s="5" t="s">
        <v>1016</v>
      </c>
      <c r="R31" s="5" t="s">
        <v>221</v>
      </c>
    </row>
    <row r="32" spans="1:18" ht="13.05" customHeight="1" x14ac:dyDescent="0.3">
      <c r="A32" s="3" t="s">
        <v>10</v>
      </c>
      <c r="B32" s="3" t="s">
        <v>11</v>
      </c>
      <c r="C32" s="4" t="s">
        <v>12</v>
      </c>
      <c r="D32" s="3" t="s">
        <v>929</v>
      </c>
      <c r="E32" s="4" t="s">
        <v>12</v>
      </c>
      <c r="F32" s="3" t="s">
        <v>154</v>
      </c>
      <c r="G32" s="3" t="s">
        <v>962</v>
      </c>
      <c r="H32" s="3"/>
      <c r="I32" s="3" t="s">
        <v>990</v>
      </c>
      <c r="J32" s="3" t="s">
        <v>990</v>
      </c>
      <c r="K32" s="6">
        <v>-850.11</v>
      </c>
      <c r="L32" s="6">
        <v>-850.11</v>
      </c>
      <c r="M32" s="3" t="s">
        <v>1017</v>
      </c>
      <c r="N32" s="18" t="s">
        <v>933</v>
      </c>
      <c r="O32" s="5" t="s">
        <v>221</v>
      </c>
      <c r="P32" s="5" t="s">
        <v>155</v>
      </c>
      <c r="Q32" s="5" t="s">
        <v>1018</v>
      </c>
      <c r="R32" s="5" t="s">
        <v>221</v>
      </c>
    </row>
    <row r="33" spans="1:18" ht="13.05" customHeight="1" x14ac:dyDescent="0.3">
      <c r="A33" s="3" t="s">
        <v>10</v>
      </c>
      <c r="B33" s="3" t="s">
        <v>11</v>
      </c>
      <c r="C33" s="4" t="s">
        <v>12</v>
      </c>
      <c r="D33" s="3" t="s">
        <v>929</v>
      </c>
      <c r="E33" s="4" t="s">
        <v>12</v>
      </c>
      <c r="F33" s="3" t="s">
        <v>174</v>
      </c>
      <c r="G33" s="3" t="s">
        <v>968</v>
      </c>
      <c r="H33" s="3"/>
      <c r="I33" s="3" t="s">
        <v>990</v>
      </c>
      <c r="J33" s="3" t="s">
        <v>990</v>
      </c>
      <c r="K33" s="6">
        <v>-559.02</v>
      </c>
      <c r="L33" s="6">
        <v>-559.02</v>
      </c>
      <c r="M33" s="3" t="s">
        <v>1019</v>
      </c>
      <c r="N33" s="18" t="s">
        <v>933</v>
      </c>
      <c r="O33" s="5" t="s">
        <v>221</v>
      </c>
      <c r="P33" s="5" t="s">
        <v>175</v>
      </c>
      <c r="Q33" s="5" t="s">
        <v>1020</v>
      </c>
      <c r="R33" s="5" t="s">
        <v>221</v>
      </c>
    </row>
    <row r="34" spans="1:18" ht="13.05" customHeight="1" x14ac:dyDescent="0.3">
      <c r="A34" s="3" t="s">
        <v>10</v>
      </c>
      <c r="B34" s="3" t="s">
        <v>11</v>
      </c>
      <c r="C34" s="4" t="s">
        <v>12</v>
      </c>
      <c r="D34" s="3" t="s">
        <v>929</v>
      </c>
      <c r="E34" s="4" t="s">
        <v>12</v>
      </c>
      <c r="F34" s="3" t="s">
        <v>174</v>
      </c>
      <c r="G34" s="3" t="s">
        <v>965</v>
      </c>
      <c r="H34" s="3"/>
      <c r="I34" s="3" t="s">
        <v>990</v>
      </c>
      <c r="J34" s="3" t="s">
        <v>990</v>
      </c>
      <c r="K34" s="6">
        <v>-577.95000000000005</v>
      </c>
      <c r="L34" s="6">
        <v>-577.95000000000005</v>
      </c>
      <c r="M34" s="3" t="s">
        <v>1021</v>
      </c>
      <c r="N34" s="18" t="s">
        <v>933</v>
      </c>
      <c r="O34" s="5" t="s">
        <v>221</v>
      </c>
      <c r="P34" s="5" t="s">
        <v>175</v>
      </c>
      <c r="Q34" s="5" t="s">
        <v>1022</v>
      </c>
      <c r="R34" s="5" t="s">
        <v>221</v>
      </c>
    </row>
    <row r="35" spans="1:18" ht="13.05" customHeight="1" x14ac:dyDescent="0.3">
      <c r="A35" s="3" t="s">
        <v>10</v>
      </c>
      <c r="B35" s="3" t="s">
        <v>11</v>
      </c>
      <c r="C35" s="4" t="s">
        <v>12</v>
      </c>
      <c r="D35" s="3" t="s">
        <v>929</v>
      </c>
      <c r="E35" s="4" t="s">
        <v>12</v>
      </c>
      <c r="F35" s="3" t="s">
        <v>176</v>
      </c>
      <c r="G35" s="3" t="s">
        <v>971</v>
      </c>
      <c r="H35" s="3"/>
      <c r="I35" s="3" t="s">
        <v>990</v>
      </c>
      <c r="J35" s="3" t="s">
        <v>990</v>
      </c>
      <c r="K35" s="6">
        <v>-2257.5700000000002</v>
      </c>
      <c r="L35" s="6">
        <v>-2257.5700000000002</v>
      </c>
      <c r="M35" s="3" t="s">
        <v>1023</v>
      </c>
      <c r="N35" s="18" t="s">
        <v>933</v>
      </c>
      <c r="O35" s="5" t="s">
        <v>221</v>
      </c>
      <c r="P35" s="5" t="s">
        <v>177</v>
      </c>
      <c r="Q35" s="5" t="s">
        <v>1024</v>
      </c>
      <c r="R35" s="5" t="s">
        <v>221</v>
      </c>
    </row>
    <row r="36" spans="1:18" ht="13.05" customHeight="1" x14ac:dyDescent="0.3">
      <c r="A36" s="3" t="s">
        <v>10</v>
      </c>
      <c r="B36" s="3" t="s">
        <v>11</v>
      </c>
      <c r="C36" s="4" t="s">
        <v>12</v>
      </c>
      <c r="D36" s="3" t="s">
        <v>929</v>
      </c>
      <c r="E36" s="4" t="s">
        <v>12</v>
      </c>
      <c r="F36" s="3" t="s">
        <v>183</v>
      </c>
      <c r="G36" s="3" t="s">
        <v>974</v>
      </c>
      <c r="H36" s="3"/>
      <c r="I36" s="3" t="s">
        <v>990</v>
      </c>
      <c r="J36" s="3" t="s">
        <v>990</v>
      </c>
      <c r="K36" s="6">
        <v>-371.92</v>
      </c>
      <c r="L36" s="6">
        <v>-371.92</v>
      </c>
      <c r="M36" s="3" t="s">
        <v>1025</v>
      </c>
      <c r="N36" s="18" t="s">
        <v>933</v>
      </c>
      <c r="O36" s="5" t="s">
        <v>221</v>
      </c>
      <c r="P36" s="5" t="s">
        <v>184</v>
      </c>
      <c r="Q36" s="5" t="s">
        <v>1026</v>
      </c>
      <c r="R36" s="5" t="s">
        <v>221</v>
      </c>
    </row>
    <row r="37" spans="1:18" ht="13.05" customHeight="1" x14ac:dyDescent="0.3">
      <c r="A37" s="3" t="s">
        <v>10</v>
      </c>
      <c r="B37" s="3" t="s">
        <v>11</v>
      </c>
      <c r="C37" s="4" t="s">
        <v>12</v>
      </c>
      <c r="D37" s="3" t="s">
        <v>929</v>
      </c>
      <c r="E37" s="4" t="s">
        <v>12</v>
      </c>
      <c r="F37" s="3" t="s">
        <v>185</v>
      </c>
      <c r="G37" s="3" t="s">
        <v>977</v>
      </c>
      <c r="H37" s="3"/>
      <c r="I37" s="3" t="s">
        <v>990</v>
      </c>
      <c r="J37" s="3" t="s">
        <v>990</v>
      </c>
      <c r="K37" s="6">
        <v>-217.68</v>
      </c>
      <c r="L37" s="6">
        <v>-217.68</v>
      </c>
      <c r="M37" s="3" t="s">
        <v>1027</v>
      </c>
      <c r="N37" s="18" t="s">
        <v>933</v>
      </c>
      <c r="O37" s="5" t="s">
        <v>221</v>
      </c>
      <c r="P37" s="5" t="s">
        <v>186</v>
      </c>
      <c r="Q37" s="5" t="s">
        <v>1028</v>
      </c>
      <c r="R37" s="5" t="s">
        <v>221</v>
      </c>
    </row>
    <row r="38" spans="1:18" ht="13.05" customHeight="1" x14ac:dyDescent="0.3">
      <c r="A38" s="3" t="s">
        <v>10</v>
      </c>
      <c r="B38" s="3" t="s">
        <v>11</v>
      </c>
      <c r="C38" s="4" t="s">
        <v>12</v>
      </c>
      <c r="D38" s="3" t="s">
        <v>929</v>
      </c>
      <c r="E38" s="4" t="s">
        <v>12</v>
      </c>
      <c r="F38" s="3" t="s">
        <v>187</v>
      </c>
      <c r="G38" s="3" t="s">
        <v>980</v>
      </c>
      <c r="H38" s="3"/>
      <c r="I38" s="3" t="s">
        <v>990</v>
      </c>
      <c r="J38" s="3" t="s">
        <v>990</v>
      </c>
      <c r="K38" s="6">
        <v>-381.15</v>
      </c>
      <c r="L38" s="6">
        <v>-381.15</v>
      </c>
      <c r="M38" s="3" t="s">
        <v>1029</v>
      </c>
      <c r="N38" s="18" t="s">
        <v>933</v>
      </c>
      <c r="O38" s="5" t="s">
        <v>221</v>
      </c>
      <c r="P38" s="5" t="s">
        <v>188</v>
      </c>
      <c r="Q38" s="5" t="s">
        <v>1030</v>
      </c>
      <c r="R38" s="5" t="s">
        <v>221</v>
      </c>
    </row>
    <row r="39" spans="1:18" ht="13.05" customHeight="1" x14ac:dyDescent="0.3">
      <c r="A39" s="3" t="s">
        <v>10</v>
      </c>
      <c r="B39" s="3" t="s">
        <v>11</v>
      </c>
      <c r="C39" s="4" t="s">
        <v>12</v>
      </c>
      <c r="D39" s="3" t="s">
        <v>929</v>
      </c>
      <c r="E39" s="4" t="s">
        <v>12</v>
      </c>
      <c r="F39" s="3" t="s">
        <v>193</v>
      </c>
      <c r="G39" s="3" t="s">
        <v>983</v>
      </c>
      <c r="H39" s="3"/>
      <c r="I39" s="3" t="s">
        <v>990</v>
      </c>
      <c r="J39" s="3" t="s">
        <v>990</v>
      </c>
      <c r="K39" s="6">
        <v>-78.14</v>
      </c>
      <c r="L39" s="6">
        <v>-78.14</v>
      </c>
      <c r="M39" s="3" t="s">
        <v>1031</v>
      </c>
      <c r="N39" s="18" t="s">
        <v>933</v>
      </c>
      <c r="O39" s="5" t="s">
        <v>221</v>
      </c>
      <c r="P39" s="5" t="s">
        <v>194</v>
      </c>
      <c r="Q39" s="5" t="s">
        <v>1032</v>
      </c>
      <c r="R39" s="5" t="s">
        <v>221</v>
      </c>
    </row>
    <row r="40" spans="1:18" ht="13.05" customHeight="1" x14ac:dyDescent="0.3">
      <c r="A40" s="3" t="s">
        <v>10</v>
      </c>
      <c r="B40" s="3" t="s">
        <v>11</v>
      </c>
      <c r="C40" s="4" t="s">
        <v>12</v>
      </c>
      <c r="D40" s="3" t="s">
        <v>929</v>
      </c>
      <c r="E40" s="4" t="s">
        <v>12</v>
      </c>
      <c r="F40" s="3" t="s">
        <v>197</v>
      </c>
      <c r="G40" s="3" t="s">
        <v>986</v>
      </c>
      <c r="H40" s="3"/>
      <c r="I40" s="3" t="s">
        <v>990</v>
      </c>
      <c r="J40" s="3" t="s">
        <v>990</v>
      </c>
      <c r="K40" s="6">
        <v>-87.67</v>
      </c>
      <c r="L40" s="6">
        <v>-87.67</v>
      </c>
      <c r="M40" s="3" t="s">
        <v>1033</v>
      </c>
      <c r="N40" s="18" t="s">
        <v>933</v>
      </c>
      <c r="O40" s="5" t="s">
        <v>221</v>
      </c>
      <c r="P40" s="5" t="s">
        <v>198</v>
      </c>
      <c r="Q40" s="5" t="s">
        <v>1034</v>
      </c>
      <c r="R40" s="5" t="s">
        <v>221</v>
      </c>
    </row>
    <row r="41" spans="1:18" ht="13.05" customHeight="1" x14ac:dyDescent="0.3">
      <c r="A41" s="3" t="s">
        <v>10</v>
      </c>
      <c r="B41" s="3" t="s">
        <v>11</v>
      </c>
      <c r="C41" s="4" t="s">
        <v>12</v>
      </c>
      <c r="D41" s="3" t="s">
        <v>929</v>
      </c>
      <c r="E41" s="4" t="s">
        <v>12</v>
      </c>
      <c r="F41" s="3" t="s">
        <v>107</v>
      </c>
      <c r="G41" s="3" t="s">
        <v>1035</v>
      </c>
      <c r="H41" s="3"/>
      <c r="I41" s="3" t="s">
        <v>1036</v>
      </c>
      <c r="J41" s="3" t="s">
        <v>1036</v>
      </c>
      <c r="K41" s="6">
        <v>-37615.68</v>
      </c>
      <c r="L41" s="6">
        <v>-37615.68</v>
      </c>
      <c r="M41" s="3" t="s">
        <v>1037</v>
      </c>
      <c r="N41" s="18" t="s">
        <v>933</v>
      </c>
      <c r="O41" s="5" t="s">
        <v>221</v>
      </c>
      <c r="P41" s="5" t="s">
        <v>109</v>
      </c>
      <c r="Q41" s="5" t="s">
        <v>1038</v>
      </c>
      <c r="R41" s="5" t="s">
        <v>221</v>
      </c>
    </row>
    <row r="42" spans="1:18" ht="13.05" customHeight="1" x14ac:dyDescent="0.3">
      <c r="A42" s="3" t="s">
        <v>10</v>
      </c>
      <c r="B42" s="3" t="s">
        <v>11</v>
      </c>
      <c r="C42" s="4" t="s">
        <v>12</v>
      </c>
      <c r="D42" s="3" t="s">
        <v>929</v>
      </c>
      <c r="E42" s="4" t="s">
        <v>12</v>
      </c>
      <c r="F42" s="3" t="s">
        <v>112</v>
      </c>
      <c r="G42" s="3" t="s">
        <v>1039</v>
      </c>
      <c r="H42" s="3"/>
      <c r="I42" s="3" t="s">
        <v>1036</v>
      </c>
      <c r="J42" s="3" t="s">
        <v>1036</v>
      </c>
      <c r="K42" s="6">
        <v>-213.93</v>
      </c>
      <c r="L42" s="6">
        <v>-213.93</v>
      </c>
      <c r="M42" s="3" t="s">
        <v>1040</v>
      </c>
      <c r="N42" s="18" t="s">
        <v>933</v>
      </c>
      <c r="O42" s="5" t="s">
        <v>221</v>
      </c>
      <c r="P42" s="5" t="s">
        <v>113</v>
      </c>
      <c r="Q42" s="5" t="s">
        <v>1041</v>
      </c>
      <c r="R42" s="5" t="s">
        <v>221</v>
      </c>
    </row>
    <row r="43" spans="1:18" ht="13.05" customHeight="1" x14ac:dyDescent="0.3">
      <c r="A43" s="3" t="s">
        <v>10</v>
      </c>
      <c r="B43" s="3" t="s">
        <v>11</v>
      </c>
      <c r="C43" s="4" t="s">
        <v>12</v>
      </c>
      <c r="D43" s="3" t="s">
        <v>929</v>
      </c>
      <c r="E43" s="4" t="s">
        <v>12</v>
      </c>
      <c r="F43" s="3" t="s">
        <v>114</v>
      </c>
      <c r="G43" s="3" t="s">
        <v>1042</v>
      </c>
      <c r="H43" s="3"/>
      <c r="I43" s="3" t="s">
        <v>1036</v>
      </c>
      <c r="J43" s="3" t="s">
        <v>1036</v>
      </c>
      <c r="K43" s="6">
        <v>-285.25</v>
      </c>
      <c r="L43" s="6">
        <v>-285.25</v>
      </c>
      <c r="M43" s="3" t="s">
        <v>1043</v>
      </c>
      <c r="N43" s="18" t="s">
        <v>933</v>
      </c>
      <c r="O43" s="5" t="s">
        <v>221</v>
      </c>
      <c r="P43" s="5" t="s">
        <v>115</v>
      </c>
      <c r="Q43" s="5" t="s">
        <v>1044</v>
      </c>
      <c r="R43" s="5" t="s">
        <v>221</v>
      </c>
    </row>
    <row r="44" spans="1:18" ht="13.05" customHeight="1" x14ac:dyDescent="0.3">
      <c r="A44" s="3" t="s">
        <v>10</v>
      </c>
      <c r="B44" s="3" t="s">
        <v>11</v>
      </c>
      <c r="C44" s="4" t="s">
        <v>12</v>
      </c>
      <c r="D44" s="3" t="s">
        <v>929</v>
      </c>
      <c r="E44" s="4" t="s">
        <v>12</v>
      </c>
      <c r="F44" s="3" t="s">
        <v>118</v>
      </c>
      <c r="G44" s="3" t="s">
        <v>1045</v>
      </c>
      <c r="H44" s="3"/>
      <c r="I44" s="3" t="s">
        <v>1036</v>
      </c>
      <c r="J44" s="3" t="s">
        <v>1036</v>
      </c>
      <c r="K44" s="6">
        <v>-537.37</v>
      </c>
      <c r="L44" s="6">
        <v>-537.37</v>
      </c>
      <c r="M44" s="3" t="s">
        <v>1046</v>
      </c>
      <c r="N44" s="18" t="s">
        <v>933</v>
      </c>
      <c r="O44" s="5" t="s">
        <v>221</v>
      </c>
      <c r="P44" s="5" t="s">
        <v>119</v>
      </c>
      <c r="Q44" s="5" t="s">
        <v>1047</v>
      </c>
      <c r="R44" s="5" t="s">
        <v>221</v>
      </c>
    </row>
    <row r="45" spans="1:18" ht="13.05" customHeight="1" x14ac:dyDescent="0.3">
      <c r="A45" s="3" t="s">
        <v>10</v>
      </c>
      <c r="B45" s="3" t="s">
        <v>11</v>
      </c>
      <c r="C45" s="4" t="s">
        <v>12</v>
      </c>
      <c r="D45" s="3" t="s">
        <v>929</v>
      </c>
      <c r="E45" s="4" t="s">
        <v>12</v>
      </c>
      <c r="F45" s="3" t="s">
        <v>126</v>
      </c>
      <c r="G45" s="3" t="s">
        <v>1048</v>
      </c>
      <c r="H45" s="3"/>
      <c r="I45" s="3" t="s">
        <v>1036</v>
      </c>
      <c r="J45" s="3" t="s">
        <v>1036</v>
      </c>
      <c r="K45" s="6">
        <v>-2773.22</v>
      </c>
      <c r="L45" s="6">
        <v>-2773.22</v>
      </c>
      <c r="M45" s="3" t="s">
        <v>1049</v>
      </c>
      <c r="N45" s="18" t="s">
        <v>933</v>
      </c>
      <c r="O45" s="5" t="s">
        <v>221</v>
      </c>
      <c r="P45" s="5" t="s">
        <v>127</v>
      </c>
      <c r="Q45" s="5" t="s">
        <v>1050</v>
      </c>
      <c r="R45" s="5" t="s">
        <v>221</v>
      </c>
    </row>
    <row r="46" spans="1:18" ht="13.05" customHeight="1" x14ac:dyDescent="0.3">
      <c r="A46" s="3" t="s">
        <v>10</v>
      </c>
      <c r="B46" s="3" t="s">
        <v>11</v>
      </c>
      <c r="C46" s="4" t="s">
        <v>12</v>
      </c>
      <c r="D46" s="3" t="s">
        <v>929</v>
      </c>
      <c r="E46" s="4" t="s">
        <v>12</v>
      </c>
      <c r="F46" s="3" t="s">
        <v>132</v>
      </c>
      <c r="G46" s="3" t="s">
        <v>1051</v>
      </c>
      <c r="H46" s="3"/>
      <c r="I46" s="3" t="s">
        <v>1036</v>
      </c>
      <c r="J46" s="3" t="s">
        <v>1036</v>
      </c>
      <c r="K46" s="6">
        <v>-532.70000000000005</v>
      </c>
      <c r="L46" s="6">
        <v>-532.70000000000005</v>
      </c>
      <c r="M46" s="3" t="s">
        <v>1052</v>
      </c>
      <c r="N46" s="18" t="s">
        <v>933</v>
      </c>
      <c r="O46" s="5" t="s">
        <v>221</v>
      </c>
      <c r="P46" s="5" t="s">
        <v>133</v>
      </c>
      <c r="Q46" s="5" t="s">
        <v>1053</v>
      </c>
      <c r="R46" s="5" t="s">
        <v>221</v>
      </c>
    </row>
    <row r="47" spans="1:18" ht="13.05" customHeight="1" x14ac:dyDescent="0.3">
      <c r="A47" s="3" t="s">
        <v>10</v>
      </c>
      <c r="B47" s="3" t="s">
        <v>11</v>
      </c>
      <c r="C47" s="4" t="s">
        <v>12</v>
      </c>
      <c r="D47" s="3" t="s">
        <v>929</v>
      </c>
      <c r="E47" s="4" t="s">
        <v>12</v>
      </c>
      <c r="F47" s="3" t="s">
        <v>140</v>
      </c>
      <c r="G47" s="3" t="s">
        <v>1054</v>
      </c>
      <c r="H47" s="3"/>
      <c r="I47" s="3" t="s">
        <v>1036</v>
      </c>
      <c r="J47" s="3" t="s">
        <v>1036</v>
      </c>
      <c r="K47" s="6">
        <v>-59.43</v>
      </c>
      <c r="L47" s="6">
        <v>-59.43</v>
      </c>
      <c r="M47" s="3" t="s">
        <v>1055</v>
      </c>
      <c r="N47" s="18" t="s">
        <v>933</v>
      </c>
      <c r="O47" s="5" t="s">
        <v>221</v>
      </c>
      <c r="P47" s="5" t="s">
        <v>141</v>
      </c>
      <c r="Q47" s="5" t="s">
        <v>1056</v>
      </c>
      <c r="R47" s="5" t="s">
        <v>221</v>
      </c>
    </row>
    <row r="48" spans="1:18" ht="13.05" customHeight="1" x14ac:dyDescent="0.3">
      <c r="A48" s="3" t="s">
        <v>10</v>
      </c>
      <c r="B48" s="3" t="s">
        <v>11</v>
      </c>
      <c r="C48" s="4" t="s">
        <v>12</v>
      </c>
      <c r="D48" s="3" t="s">
        <v>929</v>
      </c>
      <c r="E48" s="4" t="s">
        <v>12</v>
      </c>
      <c r="F48" s="3" t="s">
        <v>144</v>
      </c>
      <c r="G48" s="3" t="s">
        <v>1057</v>
      </c>
      <c r="H48" s="3"/>
      <c r="I48" s="3" t="s">
        <v>1036</v>
      </c>
      <c r="J48" s="3" t="s">
        <v>1036</v>
      </c>
      <c r="K48" s="6">
        <v>-4030.25</v>
      </c>
      <c r="L48" s="6">
        <v>-4030.25</v>
      </c>
      <c r="M48" s="3" t="s">
        <v>1058</v>
      </c>
      <c r="N48" s="18" t="s">
        <v>933</v>
      </c>
      <c r="O48" s="5" t="s">
        <v>221</v>
      </c>
      <c r="P48" s="5" t="s">
        <v>145</v>
      </c>
      <c r="Q48" s="5" t="s">
        <v>1059</v>
      </c>
      <c r="R48" s="5" t="s">
        <v>221</v>
      </c>
    </row>
    <row r="49" spans="1:18" ht="13.05" customHeight="1" x14ac:dyDescent="0.3">
      <c r="A49" s="3" t="s">
        <v>10</v>
      </c>
      <c r="B49" s="3" t="s">
        <v>11</v>
      </c>
      <c r="C49" s="4" t="s">
        <v>12</v>
      </c>
      <c r="D49" s="3" t="s">
        <v>929</v>
      </c>
      <c r="E49" s="4" t="s">
        <v>12</v>
      </c>
      <c r="F49" s="3" t="s">
        <v>146</v>
      </c>
      <c r="G49" s="3" t="s">
        <v>1060</v>
      </c>
      <c r="H49" s="3"/>
      <c r="I49" s="3" t="s">
        <v>1036</v>
      </c>
      <c r="J49" s="3" t="s">
        <v>1036</v>
      </c>
      <c r="K49" s="6">
        <v>-1096.4100000000001</v>
      </c>
      <c r="L49" s="6">
        <v>-1096.4100000000001</v>
      </c>
      <c r="M49" s="3" t="s">
        <v>1061</v>
      </c>
      <c r="N49" s="18" t="s">
        <v>933</v>
      </c>
      <c r="O49" s="5" t="s">
        <v>221</v>
      </c>
      <c r="P49" s="5" t="s">
        <v>147</v>
      </c>
      <c r="Q49" s="5" t="s">
        <v>1062</v>
      </c>
      <c r="R49" s="5" t="s">
        <v>221</v>
      </c>
    </row>
    <row r="50" spans="1:18" ht="13.05" customHeight="1" x14ac:dyDescent="0.3">
      <c r="A50" s="3" t="s">
        <v>10</v>
      </c>
      <c r="B50" s="3" t="s">
        <v>11</v>
      </c>
      <c r="C50" s="4" t="s">
        <v>12</v>
      </c>
      <c r="D50" s="3" t="s">
        <v>929</v>
      </c>
      <c r="E50" s="4" t="s">
        <v>12</v>
      </c>
      <c r="F50" s="3" t="s">
        <v>148</v>
      </c>
      <c r="G50" s="3" t="s">
        <v>1063</v>
      </c>
      <c r="H50" s="3"/>
      <c r="I50" s="3" t="s">
        <v>1036</v>
      </c>
      <c r="J50" s="3" t="s">
        <v>1036</v>
      </c>
      <c r="K50" s="6">
        <v>-49.72</v>
      </c>
      <c r="L50" s="6">
        <v>-49.72</v>
      </c>
      <c r="M50" s="3" t="s">
        <v>1064</v>
      </c>
      <c r="N50" s="18" t="s">
        <v>933</v>
      </c>
      <c r="O50" s="5" t="s">
        <v>221</v>
      </c>
      <c r="P50" s="5" t="s">
        <v>149</v>
      </c>
      <c r="Q50" s="5" t="s">
        <v>1065</v>
      </c>
      <c r="R50" s="5" t="s">
        <v>221</v>
      </c>
    </row>
    <row r="51" spans="1:18" ht="13.05" customHeight="1" x14ac:dyDescent="0.3">
      <c r="A51" s="3" t="s">
        <v>10</v>
      </c>
      <c r="B51" s="3" t="s">
        <v>11</v>
      </c>
      <c r="C51" s="4" t="s">
        <v>12</v>
      </c>
      <c r="D51" s="3" t="s">
        <v>929</v>
      </c>
      <c r="E51" s="4" t="s">
        <v>12</v>
      </c>
      <c r="F51" s="3" t="s">
        <v>154</v>
      </c>
      <c r="G51" s="3" t="s">
        <v>1066</v>
      </c>
      <c r="H51" s="3"/>
      <c r="I51" s="3" t="s">
        <v>1036</v>
      </c>
      <c r="J51" s="3" t="s">
        <v>1036</v>
      </c>
      <c r="K51" s="6">
        <v>-795.27</v>
      </c>
      <c r="L51" s="6">
        <v>-795.27</v>
      </c>
      <c r="M51" s="3" t="s">
        <v>1067</v>
      </c>
      <c r="N51" s="18" t="s">
        <v>933</v>
      </c>
      <c r="O51" s="5" t="s">
        <v>221</v>
      </c>
      <c r="P51" s="5" t="s">
        <v>155</v>
      </c>
      <c r="Q51" s="5" t="s">
        <v>1068</v>
      </c>
      <c r="R51" s="5" t="s">
        <v>221</v>
      </c>
    </row>
    <row r="52" spans="1:18" ht="13.05" customHeight="1" x14ac:dyDescent="0.3">
      <c r="A52" s="3" t="s">
        <v>10</v>
      </c>
      <c r="B52" s="3" t="s">
        <v>11</v>
      </c>
      <c r="C52" s="4" t="s">
        <v>12</v>
      </c>
      <c r="D52" s="3" t="s">
        <v>929</v>
      </c>
      <c r="E52" s="4" t="s">
        <v>12</v>
      </c>
      <c r="F52" s="3" t="s">
        <v>174</v>
      </c>
      <c r="G52" s="3" t="s">
        <v>1069</v>
      </c>
      <c r="H52" s="3"/>
      <c r="I52" s="3" t="s">
        <v>1036</v>
      </c>
      <c r="J52" s="3" t="s">
        <v>1036</v>
      </c>
      <c r="K52" s="6">
        <v>-540.66</v>
      </c>
      <c r="L52" s="6">
        <v>-540.66</v>
      </c>
      <c r="M52" s="3" t="s">
        <v>1070</v>
      </c>
      <c r="N52" s="18" t="s">
        <v>933</v>
      </c>
      <c r="O52" s="5" t="s">
        <v>221</v>
      </c>
      <c r="P52" s="5" t="s">
        <v>175</v>
      </c>
      <c r="Q52" s="5" t="s">
        <v>1071</v>
      </c>
      <c r="R52" s="5" t="s">
        <v>221</v>
      </c>
    </row>
    <row r="53" spans="1:18" ht="13.05" customHeight="1" x14ac:dyDescent="0.3">
      <c r="A53" s="3" t="s">
        <v>10</v>
      </c>
      <c r="B53" s="3" t="s">
        <v>11</v>
      </c>
      <c r="C53" s="4" t="s">
        <v>12</v>
      </c>
      <c r="D53" s="3" t="s">
        <v>929</v>
      </c>
      <c r="E53" s="4" t="s">
        <v>12</v>
      </c>
      <c r="F53" s="3" t="s">
        <v>174</v>
      </c>
      <c r="G53" s="3" t="s">
        <v>1072</v>
      </c>
      <c r="H53" s="3"/>
      <c r="I53" s="3" t="s">
        <v>1036</v>
      </c>
      <c r="J53" s="3" t="s">
        <v>1036</v>
      </c>
      <c r="K53" s="6">
        <v>-522.95000000000005</v>
      </c>
      <c r="L53" s="6">
        <v>-522.95000000000005</v>
      </c>
      <c r="M53" s="3" t="s">
        <v>1073</v>
      </c>
      <c r="N53" s="18" t="s">
        <v>933</v>
      </c>
      <c r="O53" s="5" t="s">
        <v>221</v>
      </c>
      <c r="P53" s="5" t="s">
        <v>175</v>
      </c>
      <c r="Q53" s="5" t="s">
        <v>1074</v>
      </c>
      <c r="R53" s="5" t="s">
        <v>221</v>
      </c>
    </row>
    <row r="54" spans="1:18" ht="13.05" customHeight="1" x14ac:dyDescent="0.3">
      <c r="A54" s="3" t="s">
        <v>10</v>
      </c>
      <c r="B54" s="3" t="s">
        <v>11</v>
      </c>
      <c r="C54" s="4" t="s">
        <v>12</v>
      </c>
      <c r="D54" s="3" t="s">
        <v>929</v>
      </c>
      <c r="E54" s="4" t="s">
        <v>12</v>
      </c>
      <c r="F54" s="3" t="s">
        <v>176</v>
      </c>
      <c r="G54" s="3" t="s">
        <v>1075</v>
      </c>
      <c r="H54" s="3"/>
      <c r="I54" s="3" t="s">
        <v>1036</v>
      </c>
      <c r="J54" s="3" t="s">
        <v>1036</v>
      </c>
      <c r="K54" s="6">
        <v>-2111.92</v>
      </c>
      <c r="L54" s="6">
        <v>-2111.92</v>
      </c>
      <c r="M54" s="3" t="s">
        <v>1076</v>
      </c>
      <c r="N54" s="18" t="s">
        <v>933</v>
      </c>
      <c r="O54" s="5" t="s">
        <v>221</v>
      </c>
      <c r="P54" s="5" t="s">
        <v>177</v>
      </c>
      <c r="Q54" s="5" t="s">
        <v>1077</v>
      </c>
      <c r="R54" s="5" t="s">
        <v>221</v>
      </c>
    </row>
    <row r="55" spans="1:18" ht="13.05" customHeight="1" x14ac:dyDescent="0.3">
      <c r="A55" s="3" t="s">
        <v>10</v>
      </c>
      <c r="B55" s="3" t="s">
        <v>11</v>
      </c>
      <c r="C55" s="4" t="s">
        <v>12</v>
      </c>
      <c r="D55" s="3" t="s">
        <v>929</v>
      </c>
      <c r="E55" s="4" t="s">
        <v>12</v>
      </c>
      <c r="F55" s="3" t="s">
        <v>183</v>
      </c>
      <c r="G55" s="3" t="s">
        <v>1078</v>
      </c>
      <c r="H55" s="3"/>
      <c r="I55" s="3" t="s">
        <v>1036</v>
      </c>
      <c r="J55" s="3" t="s">
        <v>1036</v>
      </c>
      <c r="K55" s="6">
        <v>-347.93</v>
      </c>
      <c r="L55" s="6">
        <v>-347.93</v>
      </c>
      <c r="M55" s="3" t="s">
        <v>1079</v>
      </c>
      <c r="N55" s="18" t="s">
        <v>933</v>
      </c>
      <c r="O55" s="5" t="s">
        <v>221</v>
      </c>
      <c r="P55" s="5" t="s">
        <v>184</v>
      </c>
      <c r="Q55" s="5" t="s">
        <v>1080</v>
      </c>
      <c r="R55" s="5" t="s">
        <v>221</v>
      </c>
    </row>
    <row r="56" spans="1:18" ht="13.05" customHeight="1" x14ac:dyDescent="0.3">
      <c r="A56" s="3" t="s">
        <v>10</v>
      </c>
      <c r="B56" s="3" t="s">
        <v>11</v>
      </c>
      <c r="C56" s="4" t="s">
        <v>12</v>
      </c>
      <c r="D56" s="3" t="s">
        <v>929</v>
      </c>
      <c r="E56" s="4" t="s">
        <v>12</v>
      </c>
      <c r="F56" s="3" t="s">
        <v>185</v>
      </c>
      <c r="G56" s="3" t="s">
        <v>1081</v>
      </c>
      <c r="H56" s="3"/>
      <c r="I56" s="3" t="s">
        <v>1036</v>
      </c>
      <c r="J56" s="3" t="s">
        <v>1036</v>
      </c>
      <c r="K56" s="6">
        <v>-203.63</v>
      </c>
      <c r="L56" s="6">
        <v>-203.63</v>
      </c>
      <c r="M56" s="3" t="s">
        <v>1082</v>
      </c>
      <c r="N56" s="18" t="s">
        <v>933</v>
      </c>
      <c r="O56" s="5" t="s">
        <v>221</v>
      </c>
      <c r="P56" s="5" t="s">
        <v>186</v>
      </c>
      <c r="Q56" s="5" t="s">
        <v>1083</v>
      </c>
      <c r="R56" s="5" t="s">
        <v>221</v>
      </c>
    </row>
    <row r="57" spans="1:18" ht="13.05" customHeight="1" x14ac:dyDescent="0.3">
      <c r="A57" s="3" t="s">
        <v>10</v>
      </c>
      <c r="B57" s="3" t="s">
        <v>11</v>
      </c>
      <c r="C57" s="4" t="s">
        <v>12</v>
      </c>
      <c r="D57" s="3" t="s">
        <v>929</v>
      </c>
      <c r="E57" s="4" t="s">
        <v>12</v>
      </c>
      <c r="F57" s="3" t="s">
        <v>187</v>
      </c>
      <c r="G57" s="3" t="s">
        <v>1084</v>
      </c>
      <c r="H57" s="3"/>
      <c r="I57" s="3" t="s">
        <v>1036</v>
      </c>
      <c r="J57" s="3" t="s">
        <v>1036</v>
      </c>
      <c r="K57" s="6">
        <v>-356.56</v>
      </c>
      <c r="L57" s="6">
        <v>-356.56</v>
      </c>
      <c r="M57" s="3" t="s">
        <v>1085</v>
      </c>
      <c r="N57" s="18" t="s">
        <v>933</v>
      </c>
      <c r="O57" s="5" t="s">
        <v>221</v>
      </c>
      <c r="P57" s="5" t="s">
        <v>188</v>
      </c>
      <c r="Q57" s="5" t="s">
        <v>1086</v>
      </c>
      <c r="R57" s="5" t="s">
        <v>221</v>
      </c>
    </row>
    <row r="58" spans="1:18" ht="13.05" customHeight="1" x14ac:dyDescent="0.3">
      <c r="A58" s="3" t="s">
        <v>10</v>
      </c>
      <c r="B58" s="3" t="s">
        <v>11</v>
      </c>
      <c r="C58" s="4" t="s">
        <v>12</v>
      </c>
      <c r="D58" s="3" t="s">
        <v>929</v>
      </c>
      <c r="E58" s="4" t="s">
        <v>12</v>
      </c>
      <c r="F58" s="3" t="s">
        <v>193</v>
      </c>
      <c r="G58" s="3" t="s">
        <v>1087</v>
      </c>
      <c r="H58" s="3"/>
      <c r="I58" s="3" t="s">
        <v>1036</v>
      </c>
      <c r="J58" s="3" t="s">
        <v>1036</v>
      </c>
      <c r="K58" s="6">
        <v>-73.09</v>
      </c>
      <c r="L58" s="6">
        <v>-73.09</v>
      </c>
      <c r="M58" s="3" t="s">
        <v>1088</v>
      </c>
      <c r="N58" s="18" t="s">
        <v>933</v>
      </c>
      <c r="O58" s="5" t="s">
        <v>221</v>
      </c>
      <c r="P58" s="5" t="s">
        <v>194</v>
      </c>
      <c r="Q58" s="5" t="s">
        <v>1089</v>
      </c>
      <c r="R58" s="5" t="s">
        <v>221</v>
      </c>
    </row>
    <row r="59" spans="1:18" ht="13.05" customHeight="1" x14ac:dyDescent="0.3">
      <c r="A59" s="3" t="s">
        <v>10</v>
      </c>
      <c r="B59" s="3" t="s">
        <v>11</v>
      </c>
      <c r="C59" s="4" t="s">
        <v>12</v>
      </c>
      <c r="D59" s="3" t="s">
        <v>929</v>
      </c>
      <c r="E59" s="4" t="s">
        <v>12</v>
      </c>
      <c r="F59" s="3" t="s">
        <v>197</v>
      </c>
      <c r="G59" s="3" t="s">
        <v>1090</v>
      </c>
      <c r="H59" s="3"/>
      <c r="I59" s="3" t="s">
        <v>1036</v>
      </c>
      <c r="J59" s="3" t="s">
        <v>1036</v>
      </c>
      <c r="K59" s="6">
        <v>-82.01</v>
      </c>
      <c r="L59" s="6">
        <v>-82.01</v>
      </c>
      <c r="M59" s="3" t="s">
        <v>1091</v>
      </c>
      <c r="N59" s="18" t="s">
        <v>933</v>
      </c>
      <c r="O59" s="5" t="s">
        <v>221</v>
      </c>
      <c r="P59" s="5" t="s">
        <v>198</v>
      </c>
      <c r="Q59" s="5" t="s">
        <v>1092</v>
      </c>
      <c r="R59" s="5" t="s">
        <v>221</v>
      </c>
    </row>
    <row r="60" spans="1:18" ht="13.05" customHeight="1" x14ac:dyDescent="0.3">
      <c r="A60" s="3" t="s">
        <v>10</v>
      </c>
      <c r="B60" s="3" t="s">
        <v>11</v>
      </c>
      <c r="C60" s="4" t="s">
        <v>12</v>
      </c>
      <c r="D60" s="3" t="s">
        <v>929</v>
      </c>
      <c r="E60" s="4" t="s">
        <v>12</v>
      </c>
      <c r="F60" s="3" t="s">
        <v>107</v>
      </c>
      <c r="G60" s="3" t="s">
        <v>1093</v>
      </c>
      <c r="H60" s="3"/>
      <c r="I60" s="3" t="s">
        <v>1094</v>
      </c>
      <c r="J60" s="3" t="s">
        <v>1094</v>
      </c>
      <c r="K60" s="6">
        <v>-40105.269999999997</v>
      </c>
      <c r="L60" s="6">
        <v>-40105.269999999997</v>
      </c>
      <c r="M60" s="3" t="s">
        <v>1095</v>
      </c>
      <c r="N60" s="18" t="s">
        <v>933</v>
      </c>
      <c r="O60" s="5" t="s">
        <v>221</v>
      </c>
      <c r="P60" s="5" t="s">
        <v>109</v>
      </c>
      <c r="Q60" s="5" t="s">
        <v>1096</v>
      </c>
      <c r="R60" s="5" t="s">
        <v>221</v>
      </c>
    </row>
    <row r="61" spans="1:18" ht="13.05" customHeight="1" x14ac:dyDescent="0.3">
      <c r="A61" s="3" t="s">
        <v>10</v>
      </c>
      <c r="B61" s="3" t="s">
        <v>11</v>
      </c>
      <c r="C61" s="4" t="s">
        <v>12</v>
      </c>
      <c r="D61" s="3" t="s">
        <v>929</v>
      </c>
      <c r="E61" s="4" t="s">
        <v>12</v>
      </c>
      <c r="F61" s="3" t="s">
        <v>112</v>
      </c>
      <c r="G61" s="3" t="s">
        <v>935</v>
      </c>
      <c r="H61" s="3"/>
      <c r="I61" s="3" t="s">
        <v>1094</v>
      </c>
      <c r="J61" s="3" t="s">
        <v>1094</v>
      </c>
      <c r="K61" s="6">
        <v>-228.69</v>
      </c>
      <c r="L61" s="6">
        <v>-228.69</v>
      </c>
      <c r="M61" s="3" t="s">
        <v>1097</v>
      </c>
      <c r="N61" s="18" t="s">
        <v>933</v>
      </c>
      <c r="O61" s="5" t="s">
        <v>221</v>
      </c>
      <c r="P61" s="5" t="s">
        <v>113</v>
      </c>
      <c r="Q61" s="5" t="s">
        <v>1098</v>
      </c>
      <c r="R61" s="5" t="s">
        <v>221</v>
      </c>
    </row>
    <row r="62" spans="1:18" ht="13.05" customHeight="1" x14ac:dyDescent="0.3">
      <c r="A62" s="3" t="s">
        <v>10</v>
      </c>
      <c r="B62" s="3" t="s">
        <v>11</v>
      </c>
      <c r="C62" s="4" t="s">
        <v>12</v>
      </c>
      <c r="D62" s="3" t="s">
        <v>929</v>
      </c>
      <c r="E62" s="4" t="s">
        <v>12</v>
      </c>
      <c r="F62" s="3" t="s">
        <v>114</v>
      </c>
      <c r="G62" s="3" t="s">
        <v>938</v>
      </c>
      <c r="H62" s="3"/>
      <c r="I62" s="3" t="s">
        <v>1094</v>
      </c>
      <c r="J62" s="3" t="s">
        <v>1094</v>
      </c>
      <c r="K62" s="6">
        <v>-304.92</v>
      </c>
      <c r="L62" s="6">
        <v>-304.92</v>
      </c>
      <c r="M62" s="3" t="s">
        <v>1099</v>
      </c>
      <c r="N62" s="18" t="s">
        <v>933</v>
      </c>
      <c r="O62" s="5" t="s">
        <v>221</v>
      </c>
      <c r="P62" s="5" t="s">
        <v>115</v>
      </c>
      <c r="Q62" s="5" t="s">
        <v>1100</v>
      </c>
      <c r="R62" s="5" t="s">
        <v>221</v>
      </c>
    </row>
    <row r="63" spans="1:18" ht="13.05" customHeight="1" x14ac:dyDescent="0.3">
      <c r="A63" s="3" t="s">
        <v>10</v>
      </c>
      <c r="B63" s="3" t="s">
        <v>11</v>
      </c>
      <c r="C63" s="4" t="s">
        <v>12</v>
      </c>
      <c r="D63" s="3" t="s">
        <v>929</v>
      </c>
      <c r="E63" s="4" t="s">
        <v>12</v>
      </c>
      <c r="F63" s="3" t="s">
        <v>118</v>
      </c>
      <c r="G63" s="3" t="s">
        <v>1101</v>
      </c>
      <c r="H63" s="3"/>
      <c r="I63" s="3" t="s">
        <v>1094</v>
      </c>
      <c r="J63" s="3" t="s">
        <v>1094</v>
      </c>
      <c r="K63" s="6">
        <v>-572.92999999999995</v>
      </c>
      <c r="L63" s="6">
        <v>-572.92999999999995</v>
      </c>
      <c r="M63" s="3" t="s">
        <v>1102</v>
      </c>
      <c r="N63" s="18" t="s">
        <v>933</v>
      </c>
      <c r="O63" s="5" t="s">
        <v>221</v>
      </c>
      <c r="P63" s="5" t="s">
        <v>119</v>
      </c>
      <c r="Q63" s="5" t="s">
        <v>1103</v>
      </c>
      <c r="R63" s="5" t="s">
        <v>221</v>
      </c>
    </row>
    <row r="64" spans="1:18" ht="13.05" customHeight="1" x14ac:dyDescent="0.3">
      <c r="A64" s="3" t="s">
        <v>10</v>
      </c>
      <c r="B64" s="3" t="s">
        <v>11</v>
      </c>
      <c r="C64" s="4" t="s">
        <v>12</v>
      </c>
      <c r="D64" s="3" t="s">
        <v>929</v>
      </c>
      <c r="E64" s="4" t="s">
        <v>12</v>
      </c>
      <c r="F64" s="3" t="s">
        <v>124</v>
      </c>
      <c r="G64" s="3" t="s">
        <v>1104</v>
      </c>
      <c r="H64" s="3"/>
      <c r="I64" s="3" t="s">
        <v>1094</v>
      </c>
      <c r="J64" s="3" t="s">
        <v>1094</v>
      </c>
      <c r="K64" s="6">
        <v>-6710.32</v>
      </c>
      <c r="L64" s="6">
        <v>-6710.32</v>
      </c>
      <c r="M64" s="3" t="s">
        <v>1105</v>
      </c>
      <c r="N64" s="18" t="s">
        <v>933</v>
      </c>
      <c r="O64" s="5" t="s">
        <v>221</v>
      </c>
      <c r="P64" s="5" t="s">
        <v>125</v>
      </c>
      <c r="Q64" s="5" t="s">
        <v>1106</v>
      </c>
      <c r="R64" s="5" t="s">
        <v>221</v>
      </c>
    </row>
    <row r="65" spans="1:18" ht="13.05" customHeight="1" x14ac:dyDescent="0.3">
      <c r="A65" s="3" t="s">
        <v>10</v>
      </c>
      <c r="B65" s="3" t="s">
        <v>11</v>
      </c>
      <c r="C65" s="4" t="s">
        <v>12</v>
      </c>
      <c r="D65" s="3" t="s">
        <v>929</v>
      </c>
      <c r="E65" s="4" t="s">
        <v>12</v>
      </c>
      <c r="F65" s="3" t="s">
        <v>126</v>
      </c>
      <c r="G65" s="3" t="s">
        <v>947</v>
      </c>
      <c r="H65" s="3"/>
      <c r="I65" s="3" t="s">
        <v>1094</v>
      </c>
      <c r="J65" s="3" t="s">
        <v>1094</v>
      </c>
      <c r="K65" s="6">
        <v>-2964.48</v>
      </c>
      <c r="L65" s="6">
        <v>-2964.48</v>
      </c>
      <c r="M65" s="3" t="s">
        <v>1107</v>
      </c>
      <c r="N65" s="18" t="s">
        <v>933</v>
      </c>
      <c r="O65" s="5" t="s">
        <v>221</v>
      </c>
      <c r="P65" s="5" t="s">
        <v>127</v>
      </c>
      <c r="Q65" s="5" t="s">
        <v>1108</v>
      </c>
      <c r="R65" s="5" t="s">
        <v>221</v>
      </c>
    </row>
    <row r="66" spans="1:18" ht="13.05" customHeight="1" x14ac:dyDescent="0.3">
      <c r="A66" s="3" t="s">
        <v>10</v>
      </c>
      <c r="B66" s="3" t="s">
        <v>11</v>
      </c>
      <c r="C66" s="4" t="s">
        <v>12</v>
      </c>
      <c r="D66" s="3" t="s">
        <v>929</v>
      </c>
      <c r="E66" s="4" t="s">
        <v>12</v>
      </c>
      <c r="F66" s="3" t="s">
        <v>132</v>
      </c>
      <c r="G66" s="3" t="s">
        <v>950</v>
      </c>
      <c r="H66" s="3"/>
      <c r="I66" s="3" t="s">
        <v>1094</v>
      </c>
      <c r="J66" s="3" t="s">
        <v>1094</v>
      </c>
      <c r="K66" s="6">
        <v>-569.42999999999995</v>
      </c>
      <c r="L66" s="6">
        <v>-569.42999999999995</v>
      </c>
      <c r="M66" s="3" t="s">
        <v>1109</v>
      </c>
      <c r="N66" s="18" t="s">
        <v>933</v>
      </c>
      <c r="O66" s="5" t="s">
        <v>221</v>
      </c>
      <c r="P66" s="5" t="s">
        <v>133</v>
      </c>
      <c r="Q66" s="5" t="s">
        <v>1110</v>
      </c>
      <c r="R66" s="5" t="s">
        <v>221</v>
      </c>
    </row>
    <row r="67" spans="1:18" ht="13.05" customHeight="1" x14ac:dyDescent="0.3">
      <c r="A67" s="3" t="s">
        <v>10</v>
      </c>
      <c r="B67" s="3" t="s">
        <v>11</v>
      </c>
      <c r="C67" s="4" t="s">
        <v>12</v>
      </c>
      <c r="D67" s="3" t="s">
        <v>929</v>
      </c>
      <c r="E67" s="4" t="s">
        <v>12</v>
      </c>
      <c r="F67" s="3" t="s">
        <v>140</v>
      </c>
      <c r="G67" s="3" t="s">
        <v>1004</v>
      </c>
      <c r="H67" s="3"/>
      <c r="I67" s="3" t="s">
        <v>1094</v>
      </c>
      <c r="J67" s="3" t="s">
        <v>1094</v>
      </c>
      <c r="K67" s="6">
        <v>-63.52</v>
      </c>
      <c r="L67" s="6">
        <v>-63.52</v>
      </c>
      <c r="M67" s="3" t="s">
        <v>1111</v>
      </c>
      <c r="N67" s="18" t="s">
        <v>933</v>
      </c>
      <c r="O67" s="5" t="s">
        <v>221</v>
      </c>
      <c r="P67" s="5" t="s">
        <v>141</v>
      </c>
      <c r="Q67" s="5" t="s">
        <v>1112</v>
      </c>
      <c r="R67" s="5" t="s">
        <v>221</v>
      </c>
    </row>
    <row r="68" spans="1:18" ht="13.05" customHeight="1" x14ac:dyDescent="0.3">
      <c r="A68" s="3" t="s">
        <v>10</v>
      </c>
      <c r="B68" s="3" t="s">
        <v>11</v>
      </c>
      <c r="C68" s="4" t="s">
        <v>12</v>
      </c>
      <c r="D68" s="3" t="s">
        <v>929</v>
      </c>
      <c r="E68" s="4" t="s">
        <v>12</v>
      </c>
      <c r="F68" s="3" t="s">
        <v>144</v>
      </c>
      <c r="G68" s="3" t="s">
        <v>1113</v>
      </c>
      <c r="H68" s="3"/>
      <c r="I68" s="3" t="s">
        <v>1094</v>
      </c>
      <c r="J68" s="3" t="s">
        <v>1094</v>
      </c>
      <c r="K68" s="6">
        <v>-4296.99</v>
      </c>
      <c r="L68" s="6">
        <v>-4296.99</v>
      </c>
      <c r="M68" s="3" t="s">
        <v>1114</v>
      </c>
      <c r="N68" s="18" t="s">
        <v>933</v>
      </c>
      <c r="O68" s="5" t="s">
        <v>221</v>
      </c>
      <c r="P68" s="5" t="s">
        <v>145</v>
      </c>
      <c r="Q68" s="5" t="s">
        <v>1115</v>
      </c>
      <c r="R68" s="5" t="s">
        <v>221</v>
      </c>
    </row>
    <row r="69" spans="1:18" ht="13.05" customHeight="1" x14ac:dyDescent="0.3">
      <c r="A69" s="3" t="s">
        <v>10</v>
      </c>
      <c r="B69" s="3" t="s">
        <v>11</v>
      </c>
      <c r="C69" s="4" t="s">
        <v>12</v>
      </c>
      <c r="D69" s="3" t="s">
        <v>929</v>
      </c>
      <c r="E69" s="4" t="s">
        <v>12</v>
      </c>
      <c r="F69" s="3" t="s">
        <v>146</v>
      </c>
      <c r="G69" s="3" t="s">
        <v>956</v>
      </c>
      <c r="H69" s="3"/>
      <c r="I69" s="3" t="s">
        <v>1094</v>
      </c>
      <c r="J69" s="3" t="s">
        <v>1094</v>
      </c>
      <c r="K69" s="6">
        <v>-1172.03</v>
      </c>
      <c r="L69" s="6">
        <v>-1172.03</v>
      </c>
      <c r="M69" s="3" t="s">
        <v>1116</v>
      </c>
      <c r="N69" s="18" t="s">
        <v>933</v>
      </c>
      <c r="O69" s="5" t="s">
        <v>221</v>
      </c>
      <c r="P69" s="5" t="s">
        <v>147</v>
      </c>
      <c r="Q69" s="5" t="s">
        <v>1117</v>
      </c>
      <c r="R69" s="5" t="s">
        <v>221</v>
      </c>
    </row>
    <row r="70" spans="1:18" ht="13.05" customHeight="1" x14ac:dyDescent="0.3">
      <c r="A70" s="3" t="s">
        <v>10</v>
      </c>
      <c r="B70" s="3" t="s">
        <v>11</v>
      </c>
      <c r="C70" s="4" t="s">
        <v>12</v>
      </c>
      <c r="D70" s="3" t="s">
        <v>929</v>
      </c>
      <c r="E70" s="4" t="s">
        <v>12</v>
      </c>
      <c r="F70" s="3" t="s">
        <v>148</v>
      </c>
      <c r="G70" s="3" t="s">
        <v>959</v>
      </c>
      <c r="H70" s="3"/>
      <c r="I70" s="3" t="s">
        <v>1094</v>
      </c>
      <c r="J70" s="3" t="s">
        <v>1094</v>
      </c>
      <c r="K70" s="6">
        <v>-53.15</v>
      </c>
      <c r="L70" s="6">
        <v>-53.15</v>
      </c>
      <c r="M70" s="3" t="s">
        <v>1118</v>
      </c>
      <c r="N70" s="18" t="s">
        <v>933</v>
      </c>
      <c r="O70" s="5" t="s">
        <v>221</v>
      </c>
      <c r="P70" s="5" t="s">
        <v>149</v>
      </c>
      <c r="Q70" s="5" t="s">
        <v>1119</v>
      </c>
      <c r="R70" s="5" t="s">
        <v>221</v>
      </c>
    </row>
    <row r="71" spans="1:18" ht="13.05" customHeight="1" x14ac:dyDescent="0.3">
      <c r="A71" s="3" t="s">
        <v>10</v>
      </c>
      <c r="B71" s="3" t="s">
        <v>11</v>
      </c>
      <c r="C71" s="4" t="s">
        <v>12</v>
      </c>
      <c r="D71" s="3" t="s">
        <v>929</v>
      </c>
      <c r="E71" s="4" t="s">
        <v>12</v>
      </c>
      <c r="F71" s="3" t="s">
        <v>150</v>
      </c>
      <c r="G71" s="3" t="s">
        <v>1014</v>
      </c>
      <c r="H71" s="3"/>
      <c r="I71" s="3" t="s">
        <v>1094</v>
      </c>
      <c r="J71" s="3" t="s">
        <v>1094</v>
      </c>
      <c r="K71" s="6">
        <v>-931.69</v>
      </c>
      <c r="L71" s="6">
        <v>-931.69</v>
      </c>
      <c r="M71" s="3" t="s">
        <v>1120</v>
      </c>
      <c r="N71" s="18" t="s">
        <v>933</v>
      </c>
      <c r="O71" s="5" t="s">
        <v>221</v>
      </c>
      <c r="P71" s="5" t="s">
        <v>151</v>
      </c>
      <c r="Q71" s="5" t="s">
        <v>1121</v>
      </c>
      <c r="R71" s="5" t="s">
        <v>221</v>
      </c>
    </row>
    <row r="72" spans="1:18" ht="13.05" customHeight="1" x14ac:dyDescent="0.3">
      <c r="A72" s="3" t="s">
        <v>10</v>
      </c>
      <c r="B72" s="3" t="s">
        <v>11</v>
      </c>
      <c r="C72" s="4" t="s">
        <v>12</v>
      </c>
      <c r="D72" s="3" t="s">
        <v>929</v>
      </c>
      <c r="E72" s="4" t="s">
        <v>12</v>
      </c>
      <c r="F72" s="3" t="s">
        <v>154</v>
      </c>
      <c r="G72" s="3" t="s">
        <v>962</v>
      </c>
      <c r="H72" s="3"/>
      <c r="I72" s="3" t="s">
        <v>1094</v>
      </c>
      <c r="J72" s="3" t="s">
        <v>1094</v>
      </c>
      <c r="K72" s="6">
        <v>-850.11</v>
      </c>
      <c r="L72" s="6">
        <v>-850.11</v>
      </c>
      <c r="M72" s="3" t="s">
        <v>1122</v>
      </c>
      <c r="N72" s="18" t="s">
        <v>933</v>
      </c>
      <c r="O72" s="5" t="s">
        <v>221</v>
      </c>
      <c r="P72" s="5" t="s">
        <v>155</v>
      </c>
      <c r="Q72" s="5" t="s">
        <v>1123</v>
      </c>
      <c r="R72" s="5" t="s">
        <v>221</v>
      </c>
    </row>
    <row r="73" spans="1:18" ht="13.05" customHeight="1" x14ac:dyDescent="0.3">
      <c r="A73" s="3" t="s">
        <v>10</v>
      </c>
      <c r="B73" s="3" t="s">
        <v>11</v>
      </c>
      <c r="C73" s="4" t="s">
        <v>12</v>
      </c>
      <c r="D73" s="3" t="s">
        <v>929</v>
      </c>
      <c r="E73" s="4" t="s">
        <v>12</v>
      </c>
      <c r="F73" s="3" t="s">
        <v>174</v>
      </c>
      <c r="G73" s="3" t="s">
        <v>965</v>
      </c>
      <c r="H73" s="3"/>
      <c r="I73" s="3" t="s">
        <v>1094</v>
      </c>
      <c r="J73" s="3" t="s">
        <v>1094</v>
      </c>
      <c r="K73" s="6">
        <v>-577.95000000000005</v>
      </c>
      <c r="L73" s="6">
        <v>-577.95000000000005</v>
      </c>
      <c r="M73" s="3" t="s">
        <v>1124</v>
      </c>
      <c r="N73" s="18" t="s">
        <v>933</v>
      </c>
      <c r="O73" s="5" t="s">
        <v>221</v>
      </c>
      <c r="P73" s="5" t="s">
        <v>175</v>
      </c>
      <c r="Q73" s="5" t="s">
        <v>1125</v>
      </c>
      <c r="R73" s="5" t="s">
        <v>221</v>
      </c>
    </row>
    <row r="74" spans="1:18" ht="13.05" customHeight="1" x14ac:dyDescent="0.3">
      <c r="A74" s="3" t="s">
        <v>10</v>
      </c>
      <c r="B74" s="3" t="s">
        <v>11</v>
      </c>
      <c r="C74" s="4" t="s">
        <v>12</v>
      </c>
      <c r="D74" s="3" t="s">
        <v>929</v>
      </c>
      <c r="E74" s="4" t="s">
        <v>12</v>
      </c>
      <c r="F74" s="3" t="s">
        <v>174</v>
      </c>
      <c r="G74" s="3" t="s">
        <v>968</v>
      </c>
      <c r="H74" s="3"/>
      <c r="I74" s="3" t="s">
        <v>1094</v>
      </c>
      <c r="J74" s="3" t="s">
        <v>1094</v>
      </c>
      <c r="K74" s="6">
        <v>-559.02</v>
      </c>
      <c r="L74" s="6">
        <v>-559.02</v>
      </c>
      <c r="M74" s="3" t="s">
        <v>1126</v>
      </c>
      <c r="N74" s="18" t="s">
        <v>933</v>
      </c>
      <c r="O74" s="5" t="s">
        <v>221</v>
      </c>
      <c r="P74" s="5" t="s">
        <v>175</v>
      </c>
      <c r="Q74" s="5" t="s">
        <v>1127</v>
      </c>
      <c r="R74" s="5" t="s">
        <v>221</v>
      </c>
    </row>
    <row r="75" spans="1:18" ht="13.05" customHeight="1" x14ac:dyDescent="0.3">
      <c r="A75" s="3" t="s">
        <v>10</v>
      </c>
      <c r="B75" s="3" t="s">
        <v>11</v>
      </c>
      <c r="C75" s="4" t="s">
        <v>12</v>
      </c>
      <c r="D75" s="3" t="s">
        <v>929</v>
      </c>
      <c r="E75" s="4" t="s">
        <v>12</v>
      </c>
      <c r="F75" s="3" t="s">
        <v>176</v>
      </c>
      <c r="G75" s="3" t="s">
        <v>971</v>
      </c>
      <c r="H75" s="3"/>
      <c r="I75" s="3" t="s">
        <v>1094</v>
      </c>
      <c r="J75" s="3" t="s">
        <v>1094</v>
      </c>
      <c r="K75" s="6">
        <v>-2257.5700000000002</v>
      </c>
      <c r="L75" s="6">
        <v>-2257.5700000000002</v>
      </c>
      <c r="M75" s="3" t="s">
        <v>1128</v>
      </c>
      <c r="N75" s="18" t="s">
        <v>933</v>
      </c>
      <c r="O75" s="5" t="s">
        <v>221</v>
      </c>
      <c r="P75" s="5" t="s">
        <v>177</v>
      </c>
      <c r="Q75" s="5" t="s">
        <v>1129</v>
      </c>
      <c r="R75" s="5" t="s">
        <v>221</v>
      </c>
    </row>
    <row r="76" spans="1:18" ht="13.05" customHeight="1" x14ac:dyDescent="0.3">
      <c r="A76" s="3" t="s">
        <v>10</v>
      </c>
      <c r="B76" s="3" t="s">
        <v>11</v>
      </c>
      <c r="C76" s="4" t="s">
        <v>12</v>
      </c>
      <c r="D76" s="3" t="s">
        <v>929</v>
      </c>
      <c r="E76" s="4" t="s">
        <v>12</v>
      </c>
      <c r="F76" s="3" t="s">
        <v>183</v>
      </c>
      <c r="G76" s="3" t="s">
        <v>974</v>
      </c>
      <c r="H76" s="3"/>
      <c r="I76" s="3" t="s">
        <v>1094</v>
      </c>
      <c r="J76" s="3" t="s">
        <v>1094</v>
      </c>
      <c r="K76" s="6">
        <v>-371.92</v>
      </c>
      <c r="L76" s="6">
        <v>-371.92</v>
      </c>
      <c r="M76" s="3" t="s">
        <v>1130</v>
      </c>
      <c r="N76" s="18" t="s">
        <v>933</v>
      </c>
      <c r="O76" s="5" t="s">
        <v>221</v>
      </c>
      <c r="P76" s="5" t="s">
        <v>184</v>
      </c>
      <c r="Q76" s="5" t="s">
        <v>1131</v>
      </c>
      <c r="R76" s="5" t="s">
        <v>221</v>
      </c>
    </row>
    <row r="77" spans="1:18" ht="13.05" customHeight="1" x14ac:dyDescent="0.3">
      <c r="A77" s="3" t="s">
        <v>10</v>
      </c>
      <c r="B77" s="3" t="s">
        <v>11</v>
      </c>
      <c r="C77" s="4" t="s">
        <v>12</v>
      </c>
      <c r="D77" s="3" t="s">
        <v>929</v>
      </c>
      <c r="E77" s="4" t="s">
        <v>12</v>
      </c>
      <c r="F77" s="3" t="s">
        <v>185</v>
      </c>
      <c r="G77" s="3" t="s">
        <v>977</v>
      </c>
      <c r="H77" s="3"/>
      <c r="I77" s="3" t="s">
        <v>1094</v>
      </c>
      <c r="J77" s="3" t="s">
        <v>1094</v>
      </c>
      <c r="K77" s="6">
        <v>-217.68</v>
      </c>
      <c r="L77" s="6">
        <v>-217.68</v>
      </c>
      <c r="M77" s="3" t="s">
        <v>1132</v>
      </c>
      <c r="N77" s="18" t="s">
        <v>933</v>
      </c>
      <c r="O77" s="5" t="s">
        <v>221</v>
      </c>
      <c r="P77" s="5" t="s">
        <v>186</v>
      </c>
      <c r="Q77" s="5" t="s">
        <v>1133</v>
      </c>
      <c r="R77" s="5" t="s">
        <v>221</v>
      </c>
    </row>
    <row r="78" spans="1:18" ht="13.05" customHeight="1" x14ac:dyDescent="0.3">
      <c r="A78" s="3" t="s">
        <v>10</v>
      </c>
      <c r="B78" s="3" t="s">
        <v>11</v>
      </c>
      <c r="C78" s="4" t="s">
        <v>12</v>
      </c>
      <c r="D78" s="3" t="s">
        <v>929</v>
      </c>
      <c r="E78" s="4" t="s">
        <v>12</v>
      </c>
      <c r="F78" s="3" t="s">
        <v>187</v>
      </c>
      <c r="G78" s="3" t="s">
        <v>980</v>
      </c>
      <c r="H78" s="3"/>
      <c r="I78" s="3" t="s">
        <v>1094</v>
      </c>
      <c r="J78" s="3" t="s">
        <v>1094</v>
      </c>
      <c r="K78" s="6">
        <v>-381.15</v>
      </c>
      <c r="L78" s="6">
        <v>-381.15</v>
      </c>
      <c r="M78" s="3" t="s">
        <v>1134</v>
      </c>
      <c r="N78" s="18" t="s">
        <v>933</v>
      </c>
      <c r="O78" s="5" t="s">
        <v>221</v>
      </c>
      <c r="P78" s="5" t="s">
        <v>188</v>
      </c>
      <c r="Q78" s="5" t="s">
        <v>1135</v>
      </c>
      <c r="R78" s="5" t="s">
        <v>221</v>
      </c>
    </row>
    <row r="79" spans="1:18" ht="13.05" customHeight="1" x14ac:dyDescent="0.3">
      <c r="A79" s="3" t="s">
        <v>10</v>
      </c>
      <c r="B79" s="3" t="s">
        <v>11</v>
      </c>
      <c r="C79" s="4" t="s">
        <v>12</v>
      </c>
      <c r="D79" s="3" t="s">
        <v>929</v>
      </c>
      <c r="E79" s="4" t="s">
        <v>12</v>
      </c>
      <c r="F79" s="3" t="s">
        <v>193</v>
      </c>
      <c r="G79" s="3" t="s">
        <v>983</v>
      </c>
      <c r="H79" s="3"/>
      <c r="I79" s="3" t="s">
        <v>1094</v>
      </c>
      <c r="J79" s="3" t="s">
        <v>1094</v>
      </c>
      <c r="K79" s="6">
        <v>-78.14</v>
      </c>
      <c r="L79" s="6">
        <v>-78.14</v>
      </c>
      <c r="M79" s="3" t="s">
        <v>1136</v>
      </c>
      <c r="N79" s="18" t="s">
        <v>933</v>
      </c>
      <c r="O79" s="5" t="s">
        <v>221</v>
      </c>
      <c r="P79" s="5" t="s">
        <v>194</v>
      </c>
      <c r="Q79" s="5" t="s">
        <v>1137</v>
      </c>
      <c r="R79" s="5" t="s">
        <v>221</v>
      </c>
    </row>
    <row r="80" spans="1:18" ht="13.05" customHeight="1" x14ac:dyDescent="0.3">
      <c r="A80" s="3" t="s">
        <v>10</v>
      </c>
      <c r="B80" s="3" t="s">
        <v>11</v>
      </c>
      <c r="C80" s="4" t="s">
        <v>12</v>
      </c>
      <c r="D80" s="3" t="s">
        <v>929</v>
      </c>
      <c r="E80" s="4" t="s">
        <v>12</v>
      </c>
      <c r="F80" s="3" t="s">
        <v>197</v>
      </c>
      <c r="G80" s="3" t="s">
        <v>986</v>
      </c>
      <c r="H80" s="3"/>
      <c r="I80" s="3" t="s">
        <v>1094</v>
      </c>
      <c r="J80" s="3" t="s">
        <v>1094</v>
      </c>
      <c r="K80" s="6">
        <v>-87.67</v>
      </c>
      <c r="L80" s="6">
        <v>-87.67</v>
      </c>
      <c r="M80" s="3" t="s">
        <v>1138</v>
      </c>
      <c r="N80" s="18" t="s">
        <v>933</v>
      </c>
      <c r="O80" s="5" t="s">
        <v>221</v>
      </c>
      <c r="P80" s="5" t="s">
        <v>198</v>
      </c>
      <c r="Q80" s="5" t="s">
        <v>1139</v>
      </c>
      <c r="R80" s="5" t="s">
        <v>221</v>
      </c>
    </row>
    <row r="81" spans="1:18" ht="13.05" customHeight="1" x14ac:dyDescent="0.3">
      <c r="A81" s="3" t="s">
        <v>10</v>
      </c>
      <c r="B81" s="3" t="s">
        <v>11</v>
      </c>
      <c r="C81" s="4" t="s">
        <v>12</v>
      </c>
      <c r="D81" s="3" t="s">
        <v>929</v>
      </c>
      <c r="E81" s="4" t="s">
        <v>12</v>
      </c>
      <c r="F81" s="3" t="s">
        <v>107</v>
      </c>
      <c r="G81" s="3" t="s">
        <v>1140</v>
      </c>
      <c r="H81" s="3"/>
      <c r="I81" s="3" t="s">
        <v>1141</v>
      </c>
      <c r="J81" s="3" t="s">
        <v>1141</v>
      </c>
      <c r="K81" s="6">
        <v>-38801.839999999997</v>
      </c>
      <c r="L81" s="6">
        <v>-38801.839999999997</v>
      </c>
      <c r="M81" s="3" t="s">
        <v>1142</v>
      </c>
      <c r="N81" s="18" t="s">
        <v>933</v>
      </c>
      <c r="O81" s="5" t="s">
        <v>221</v>
      </c>
      <c r="P81" s="5" t="s">
        <v>109</v>
      </c>
      <c r="Q81" s="5" t="s">
        <v>1143</v>
      </c>
      <c r="R81" s="5" t="s">
        <v>221</v>
      </c>
    </row>
    <row r="82" spans="1:18" ht="13.05" customHeight="1" x14ac:dyDescent="0.3">
      <c r="A82" s="3" t="s">
        <v>10</v>
      </c>
      <c r="B82" s="3" t="s">
        <v>11</v>
      </c>
      <c r="C82" s="4" t="s">
        <v>12</v>
      </c>
      <c r="D82" s="3" t="s">
        <v>929</v>
      </c>
      <c r="E82" s="4" t="s">
        <v>12</v>
      </c>
      <c r="F82" s="3" t="s">
        <v>112</v>
      </c>
      <c r="G82" s="3" t="s">
        <v>1144</v>
      </c>
      <c r="H82" s="3"/>
      <c r="I82" s="3" t="s">
        <v>1141</v>
      </c>
      <c r="J82" s="3" t="s">
        <v>1141</v>
      </c>
      <c r="K82" s="6">
        <v>-221.31</v>
      </c>
      <c r="L82" s="6">
        <v>-221.31</v>
      </c>
      <c r="M82" s="3" t="s">
        <v>1145</v>
      </c>
      <c r="N82" s="18" t="s">
        <v>933</v>
      </c>
      <c r="O82" s="5" t="s">
        <v>221</v>
      </c>
      <c r="P82" s="5" t="s">
        <v>113</v>
      </c>
      <c r="Q82" s="5" t="s">
        <v>1146</v>
      </c>
      <c r="R82" s="5" t="s">
        <v>221</v>
      </c>
    </row>
    <row r="83" spans="1:18" ht="13.05" customHeight="1" x14ac:dyDescent="0.3">
      <c r="A83" s="3" t="s">
        <v>10</v>
      </c>
      <c r="B83" s="3" t="s">
        <v>11</v>
      </c>
      <c r="C83" s="4" t="s">
        <v>12</v>
      </c>
      <c r="D83" s="3" t="s">
        <v>929</v>
      </c>
      <c r="E83" s="4" t="s">
        <v>12</v>
      </c>
      <c r="F83" s="3" t="s">
        <v>114</v>
      </c>
      <c r="G83" s="3" t="s">
        <v>1147</v>
      </c>
      <c r="H83" s="3"/>
      <c r="I83" s="3" t="s">
        <v>1141</v>
      </c>
      <c r="J83" s="3" t="s">
        <v>1141</v>
      </c>
      <c r="K83" s="6">
        <v>-295.08</v>
      </c>
      <c r="L83" s="6">
        <v>-295.08</v>
      </c>
      <c r="M83" s="3" t="s">
        <v>1148</v>
      </c>
      <c r="N83" s="18" t="s">
        <v>933</v>
      </c>
      <c r="O83" s="5" t="s">
        <v>221</v>
      </c>
      <c r="P83" s="5" t="s">
        <v>115</v>
      </c>
      <c r="Q83" s="5" t="s">
        <v>1149</v>
      </c>
      <c r="R83" s="5" t="s">
        <v>221</v>
      </c>
    </row>
    <row r="84" spans="1:18" ht="13.05" customHeight="1" x14ac:dyDescent="0.3">
      <c r="A84" s="3" t="s">
        <v>10</v>
      </c>
      <c r="B84" s="3" t="s">
        <v>11</v>
      </c>
      <c r="C84" s="4" t="s">
        <v>12</v>
      </c>
      <c r="D84" s="3" t="s">
        <v>929</v>
      </c>
      <c r="E84" s="4" t="s">
        <v>12</v>
      </c>
      <c r="F84" s="3" t="s">
        <v>118</v>
      </c>
      <c r="G84" s="3" t="s">
        <v>1150</v>
      </c>
      <c r="H84" s="3"/>
      <c r="I84" s="3" t="s">
        <v>1141</v>
      </c>
      <c r="J84" s="3" t="s">
        <v>1141</v>
      </c>
      <c r="K84" s="6">
        <v>-554.30999999999995</v>
      </c>
      <c r="L84" s="6">
        <v>-554.30999999999995</v>
      </c>
      <c r="M84" s="3" t="s">
        <v>1151</v>
      </c>
      <c r="N84" s="18" t="s">
        <v>933</v>
      </c>
      <c r="O84" s="5" t="s">
        <v>221</v>
      </c>
      <c r="P84" s="5" t="s">
        <v>119</v>
      </c>
      <c r="Q84" s="5" t="s">
        <v>1152</v>
      </c>
      <c r="R84" s="5" t="s">
        <v>221</v>
      </c>
    </row>
    <row r="85" spans="1:18" ht="13.05" customHeight="1" x14ac:dyDescent="0.3">
      <c r="A85" s="3" t="s">
        <v>10</v>
      </c>
      <c r="B85" s="3" t="s">
        <v>11</v>
      </c>
      <c r="C85" s="4" t="s">
        <v>12</v>
      </c>
      <c r="D85" s="3" t="s">
        <v>929</v>
      </c>
      <c r="E85" s="4" t="s">
        <v>12</v>
      </c>
      <c r="F85" s="3" t="s">
        <v>124</v>
      </c>
      <c r="G85" s="3" t="s">
        <v>1153</v>
      </c>
      <c r="H85" s="3"/>
      <c r="I85" s="3" t="s">
        <v>1141</v>
      </c>
      <c r="J85" s="3" t="s">
        <v>1141</v>
      </c>
      <c r="K85" s="6">
        <v>-1650.08</v>
      </c>
      <c r="L85" s="6">
        <v>-1650.08</v>
      </c>
      <c r="M85" s="3" t="s">
        <v>1154</v>
      </c>
      <c r="N85" s="18" t="s">
        <v>933</v>
      </c>
      <c r="O85" s="5" t="s">
        <v>221</v>
      </c>
      <c r="P85" s="5" t="s">
        <v>125</v>
      </c>
      <c r="Q85" s="5" t="s">
        <v>1155</v>
      </c>
      <c r="R85" s="5" t="s">
        <v>221</v>
      </c>
    </row>
    <row r="86" spans="1:18" ht="13.05" customHeight="1" x14ac:dyDescent="0.3">
      <c r="A86" s="3" t="s">
        <v>10</v>
      </c>
      <c r="B86" s="3" t="s">
        <v>11</v>
      </c>
      <c r="C86" s="4" t="s">
        <v>12</v>
      </c>
      <c r="D86" s="3" t="s">
        <v>929</v>
      </c>
      <c r="E86" s="4" t="s">
        <v>12</v>
      </c>
      <c r="F86" s="3" t="s">
        <v>126</v>
      </c>
      <c r="G86" s="3" t="s">
        <v>1156</v>
      </c>
      <c r="H86" s="3"/>
      <c r="I86" s="3" t="s">
        <v>1141</v>
      </c>
      <c r="J86" s="3" t="s">
        <v>1141</v>
      </c>
      <c r="K86" s="6">
        <v>-2868.85</v>
      </c>
      <c r="L86" s="6">
        <v>-2868.85</v>
      </c>
      <c r="M86" s="3" t="s">
        <v>1157</v>
      </c>
      <c r="N86" s="18" t="s">
        <v>933</v>
      </c>
      <c r="O86" s="5" t="s">
        <v>221</v>
      </c>
      <c r="P86" s="5" t="s">
        <v>127</v>
      </c>
      <c r="Q86" s="5" t="s">
        <v>1158</v>
      </c>
      <c r="R86" s="5" t="s">
        <v>221</v>
      </c>
    </row>
    <row r="87" spans="1:18" ht="13.05" customHeight="1" x14ac:dyDescent="0.3">
      <c r="A87" s="3" t="s">
        <v>10</v>
      </c>
      <c r="B87" s="3" t="s">
        <v>11</v>
      </c>
      <c r="C87" s="4" t="s">
        <v>12</v>
      </c>
      <c r="D87" s="3" t="s">
        <v>929</v>
      </c>
      <c r="E87" s="4" t="s">
        <v>12</v>
      </c>
      <c r="F87" s="3" t="s">
        <v>132</v>
      </c>
      <c r="G87" s="3" t="s">
        <v>1159</v>
      </c>
      <c r="H87" s="3"/>
      <c r="I87" s="3" t="s">
        <v>1141</v>
      </c>
      <c r="J87" s="3" t="s">
        <v>1141</v>
      </c>
      <c r="K87" s="6">
        <v>-551.07000000000005</v>
      </c>
      <c r="L87" s="6">
        <v>-551.07000000000005</v>
      </c>
      <c r="M87" s="3" t="s">
        <v>1160</v>
      </c>
      <c r="N87" s="18" t="s">
        <v>933</v>
      </c>
      <c r="O87" s="5" t="s">
        <v>221</v>
      </c>
      <c r="P87" s="5" t="s">
        <v>133</v>
      </c>
      <c r="Q87" s="5" t="s">
        <v>1161</v>
      </c>
      <c r="R87" s="5" t="s">
        <v>221</v>
      </c>
    </row>
    <row r="88" spans="1:18" ht="13.05" customHeight="1" x14ac:dyDescent="0.3">
      <c r="A88" s="3" t="s">
        <v>10</v>
      </c>
      <c r="B88" s="3" t="s">
        <v>11</v>
      </c>
      <c r="C88" s="4" t="s">
        <v>12</v>
      </c>
      <c r="D88" s="3" t="s">
        <v>929</v>
      </c>
      <c r="E88" s="4" t="s">
        <v>12</v>
      </c>
      <c r="F88" s="3" t="s">
        <v>140</v>
      </c>
      <c r="G88" s="3" t="s">
        <v>1162</v>
      </c>
      <c r="H88" s="3"/>
      <c r="I88" s="3" t="s">
        <v>1141</v>
      </c>
      <c r="J88" s="3" t="s">
        <v>1141</v>
      </c>
      <c r="K88" s="6">
        <v>-61.48</v>
      </c>
      <c r="L88" s="6">
        <v>-61.48</v>
      </c>
      <c r="M88" s="3" t="s">
        <v>1163</v>
      </c>
      <c r="N88" s="18" t="s">
        <v>933</v>
      </c>
      <c r="O88" s="5" t="s">
        <v>221</v>
      </c>
      <c r="P88" s="5" t="s">
        <v>141</v>
      </c>
      <c r="Q88" s="5" t="s">
        <v>1164</v>
      </c>
      <c r="R88" s="5" t="s">
        <v>221</v>
      </c>
    </row>
    <row r="89" spans="1:18" ht="13.05" customHeight="1" x14ac:dyDescent="0.3">
      <c r="A89" s="3" t="s">
        <v>10</v>
      </c>
      <c r="B89" s="3" t="s">
        <v>11</v>
      </c>
      <c r="C89" s="4" t="s">
        <v>12</v>
      </c>
      <c r="D89" s="3" t="s">
        <v>929</v>
      </c>
      <c r="E89" s="4" t="s">
        <v>12</v>
      </c>
      <c r="F89" s="3" t="s">
        <v>144</v>
      </c>
      <c r="G89" s="3" t="s">
        <v>1165</v>
      </c>
      <c r="H89" s="3"/>
      <c r="I89" s="3" t="s">
        <v>1141</v>
      </c>
      <c r="J89" s="3" t="s">
        <v>1141</v>
      </c>
      <c r="K89" s="6">
        <v>-4157.34</v>
      </c>
      <c r="L89" s="6">
        <v>-4157.34</v>
      </c>
      <c r="M89" s="3" t="s">
        <v>1166</v>
      </c>
      <c r="N89" s="18" t="s">
        <v>933</v>
      </c>
      <c r="O89" s="5" t="s">
        <v>221</v>
      </c>
      <c r="P89" s="5" t="s">
        <v>145</v>
      </c>
      <c r="Q89" s="5" t="s">
        <v>1167</v>
      </c>
      <c r="R89" s="5" t="s">
        <v>221</v>
      </c>
    </row>
    <row r="90" spans="1:18" ht="13.05" customHeight="1" x14ac:dyDescent="0.3">
      <c r="A90" s="3" t="s">
        <v>10</v>
      </c>
      <c r="B90" s="3" t="s">
        <v>11</v>
      </c>
      <c r="C90" s="4" t="s">
        <v>12</v>
      </c>
      <c r="D90" s="3" t="s">
        <v>929</v>
      </c>
      <c r="E90" s="4" t="s">
        <v>12</v>
      </c>
      <c r="F90" s="3" t="s">
        <v>146</v>
      </c>
      <c r="G90" s="3" t="s">
        <v>1168</v>
      </c>
      <c r="H90" s="3"/>
      <c r="I90" s="3" t="s">
        <v>1141</v>
      </c>
      <c r="J90" s="3" t="s">
        <v>1141</v>
      </c>
      <c r="K90" s="6">
        <v>-1134.22</v>
      </c>
      <c r="L90" s="6">
        <v>-1134.22</v>
      </c>
      <c r="M90" s="3" t="s">
        <v>1169</v>
      </c>
      <c r="N90" s="18" t="s">
        <v>933</v>
      </c>
      <c r="O90" s="5" t="s">
        <v>221</v>
      </c>
      <c r="P90" s="5" t="s">
        <v>147</v>
      </c>
      <c r="Q90" s="5" t="s">
        <v>1170</v>
      </c>
      <c r="R90" s="5" t="s">
        <v>221</v>
      </c>
    </row>
    <row r="91" spans="1:18" ht="13.05" customHeight="1" x14ac:dyDescent="0.3">
      <c r="A91" s="3" t="s">
        <v>10</v>
      </c>
      <c r="B91" s="3" t="s">
        <v>11</v>
      </c>
      <c r="C91" s="4" t="s">
        <v>12</v>
      </c>
      <c r="D91" s="3" t="s">
        <v>929</v>
      </c>
      <c r="E91" s="4" t="s">
        <v>12</v>
      </c>
      <c r="F91" s="3" t="s">
        <v>148</v>
      </c>
      <c r="G91" s="3" t="s">
        <v>1171</v>
      </c>
      <c r="H91" s="3"/>
      <c r="I91" s="3" t="s">
        <v>1141</v>
      </c>
      <c r="J91" s="3" t="s">
        <v>1141</v>
      </c>
      <c r="K91" s="6">
        <v>-51.43</v>
      </c>
      <c r="L91" s="6">
        <v>-51.43</v>
      </c>
      <c r="M91" s="3" t="s">
        <v>1172</v>
      </c>
      <c r="N91" s="18" t="s">
        <v>933</v>
      </c>
      <c r="O91" s="5" t="s">
        <v>221</v>
      </c>
      <c r="P91" s="5" t="s">
        <v>149</v>
      </c>
      <c r="Q91" s="5" t="s">
        <v>1173</v>
      </c>
      <c r="R91" s="5" t="s">
        <v>221</v>
      </c>
    </row>
    <row r="92" spans="1:18" ht="13.05" customHeight="1" x14ac:dyDescent="0.3">
      <c r="A92" s="3" t="s">
        <v>10</v>
      </c>
      <c r="B92" s="3" t="s">
        <v>11</v>
      </c>
      <c r="C92" s="4" t="s">
        <v>12</v>
      </c>
      <c r="D92" s="3" t="s">
        <v>929</v>
      </c>
      <c r="E92" s="4" t="s">
        <v>12</v>
      </c>
      <c r="F92" s="3" t="s">
        <v>150</v>
      </c>
      <c r="G92" s="3" t="s">
        <v>1174</v>
      </c>
      <c r="H92" s="3"/>
      <c r="I92" s="3" t="s">
        <v>1141</v>
      </c>
      <c r="J92" s="3" t="s">
        <v>1141</v>
      </c>
      <c r="K92" s="6">
        <v>-901.64</v>
      </c>
      <c r="L92" s="6">
        <v>-901.64</v>
      </c>
      <c r="M92" s="3" t="s">
        <v>1175</v>
      </c>
      <c r="N92" s="18" t="s">
        <v>933</v>
      </c>
      <c r="O92" s="5" t="s">
        <v>221</v>
      </c>
      <c r="P92" s="5" t="s">
        <v>151</v>
      </c>
      <c r="Q92" s="5" t="s">
        <v>1176</v>
      </c>
      <c r="R92" s="5" t="s">
        <v>221</v>
      </c>
    </row>
    <row r="93" spans="1:18" ht="13.05" customHeight="1" x14ac:dyDescent="0.3">
      <c r="A93" s="3" t="s">
        <v>10</v>
      </c>
      <c r="B93" s="3" t="s">
        <v>11</v>
      </c>
      <c r="C93" s="4" t="s">
        <v>12</v>
      </c>
      <c r="D93" s="3" t="s">
        <v>929</v>
      </c>
      <c r="E93" s="4" t="s">
        <v>12</v>
      </c>
      <c r="F93" s="3" t="s">
        <v>154</v>
      </c>
      <c r="G93" s="3" t="s">
        <v>1177</v>
      </c>
      <c r="H93" s="3"/>
      <c r="I93" s="3" t="s">
        <v>1141</v>
      </c>
      <c r="J93" s="3" t="s">
        <v>1141</v>
      </c>
      <c r="K93" s="6">
        <v>-822.69</v>
      </c>
      <c r="L93" s="6">
        <v>-822.69</v>
      </c>
      <c r="M93" s="3" t="s">
        <v>1178</v>
      </c>
      <c r="N93" s="18" t="s">
        <v>933</v>
      </c>
      <c r="O93" s="5" t="s">
        <v>221</v>
      </c>
      <c r="P93" s="5" t="s">
        <v>155</v>
      </c>
      <c r="Q93" s="5" t="s">
        <v>1179</v>
      </c>
      <c r="R93" s="5" t="s">
        <v>221</v>
      </c>
    </row>
    <row r="94" spans="1:18" ht="13.05" customHeight="1" x14ac:dyDescent="0.3">
      <c r="A94" s="3" t="s">
        <v>10</v>
      </c>
      <c r="B94" s="3" t="s">
        <v>11</v>
      </c>
      <c r="C94" s="4" t="s">
        <v>12</v>
      </c>
      <c r="D94" s="3" t="s">
        <v>929</v>
      </c>
      <c r="E94" s="4" t="s">
        <v>12</v>
      </c>
      <c r="F94" s="3" t="s">
        <v>174</v>
      </c>
      <c r="G94" s="3" t="s">
        <v>1180</v>
      </c>
      <c r="H94" s="3"/>
      <c r="I94" s="3" t="s">
        <v>1141</v>
      </c>
      <c r="J94" s="3" t="s">
        <v>1141</v>
      </c>
      <c r="K94" s="6">
        <v>-559.29999999999995</v>
      </c>
      <c r="L94" s="6">
        <v>-559.29999999999995</v>
      </c>
      <c r="M94" s="3" t="s">
        <v>1181</v>
      </c>
      <c r="N94" s="18" t="s">
        <v>933</v>
      </c>
      <c r="O94" s="5" t="s">
        <v>221</v>
      </c>
      <c r="P94" s="5" t="s">
        <v>175</v>
      </c>
      <c r="Q94" s="5" t="s">
        <v>1182</v>
      </c>
      <c r="R94" s="5" t="s">
        <v>221</v>
      </c>
    </row>
    <row r="95" spans="1:18" ht="13.05" customHeight="1" x14ac:dyDescent="0.3">
      <c r="A95" s="3" t="s">
        <v>10</v>
      </c>
      <c r="B95" s="3" t="s">
        <v>11</v>
      </c>
      <c r="C95" s="4" t="s">
        <v>12</v>
      </c>
      <c r="D95" s="3" t="s">
        <v>929</v>
      </c>
      <c r="E95" s="4" t="s">
        <v>12</v>
      </c>
      <c r="F95" s="3" t="s">
        <v>174</v>
      </c>
      <c r="G95" s="3" t="s">
        <v>1183</v>
      </c>
      <c r="H95" s="3"/>
      <c r="I95" s="3" t="s">
        <v>1141</v>
      </c>
      <c r="J95" s="3" t="s">
        <v>1141</v>
      </c>
      <c r="K95" s="6">
        <v>-540.98</v>
      </c>
      <c r="L95" s="6">
        <v>-540.98</v>
      </c>
      <c r="M95" s="3" t="s">
        <v>1184</v>
      </c>
      <c r="N95" s="18" t="s">
        <v>933</v>
      </c>
      <c r="O95" s="5" t="s">
        <v>221</v>
      </c>
      <c r="P95" s="5" t="s">
        <v>175</v>
      </c>
      <c r="Q95" s="5" t="s">
        <v>1185</v>
      </c>
      <c r="R95" s="5" t="s">
        <v>221</v>
      </c>
    </row>
    <row r="96" spans="1:18" ht="13.05" customHeight="1" x14ac:dyDescent="0.3">
      <c r="A96" s="3" t="s">
        <v>10</v>
      </c>
      <c r="B96" s="3" t="s">
        <v>11</v>
      </c>
      <c r="C96" s="4" t="s">
        <v>12</v>
      </c>
      <c r="D96" s="3" t="s">
        <v>929</v>
      </c>
      <c r="E96" s="4" t="s">
        <v>12</v>
      </c>
      <c r="F96" s="3" t="s">
        <v>176</v>
      </c>
      <c r="G96" s="3" t="s">
        <v>1186</v>
      </c>
      <c r="H96" s="3"/>
      <c r="I96" s="3" t="s">
        <v>1141</v>
      </c>
      <c r="J96" s="3" t="s">
        <v>1141</v>
      </c>
      <c r="K96" s="6">
        <v>-2184.7399999999998</v>
      </c>
      <c r="L96" s="6">
        <v>-2184.7399999999998</v>
      </c>
      <c r="M96" s="3" t="s">
        <v>1187</v>
      </c>
      <c r="N96" s="18" t="s">
        <v>933</v>
      </c>
      <c r="O96" s="5" t="s">
        <v>221</v>
      </c>
      <c r="P96" s="5" t="s">
        <v>177</v>
      </c>
      <c r="Q96" s="5" t="s">
        <v>1188</v>
      </c>
      <c r="R96" s="5" t="s">
        <v>221</v>
      </c>
    </row>
    <row r="97" spans="1:18" ht="13.05" customHeight="1" x14ac:dyDescent="0.3">
      <c r="A97" s="3" t="s">
        <v>10</v>
      </c>
      <c r="B97" s="3" t="s">
        <v>11</v>
      </c>
      <c r="C97" s="4" t="s">
        <v>12</v>
      </c>
      <c r="D97" s="3" t="s">
        <v>929</v>
      </c>
      <c r="E97" s="4" t="s">
        <v>12</v>
      </c>
      <c r="F97" s="3" t="s">
        <v>183</v>
      </c>
      <c r="G97" s="3" t="s">
        <v>1189</v>
      </c>
      <c r="H97" s="3"/>
      <c r="I97" s="3" t="s">
        <v>1141</v>
      </c>
      <c r="J97" s="3" t="s">
        <v>1141</v>
      </c>
      <c r="K97" s="6">
        <v>-359.93</v>
      </c>
      <c r="L97" s="6">
        <v>-359.93</v>
      </c>
      <c r="M97" s="3" t="s">
        <v>1190</v>
      </c>
      <c r="N97" s="18" t="s">
        <v>933</v>
      </c>
      <c r="O97" s="5" t="s">
        <v>221</v>
      </c>
      <c r="P97" s="5" t="s">
        <v>184</v>
      </c>
      <c r="Q97" s="5" t="s">
        <v>1191</v>
      </c>
      <c r="R97" s="5" t="s">
        <v>221</v>
      </c>
    </row>
    <row r="98" spans="1:18" ht="13.05" customHeight="1" x14ac:dyDescent="0.3">
      <c r="A98" s="3" t="s">
        <v>10</v>
      </c>
      <c r="B98" s="3" t="s">
        <v>11</v>
      </c>
      <c r="C98" s="4" t="s">
        <v>12</v>
      </c>
      <c r="D98" s="3" t="s">
        <v>929</v>
      </c>
      <c r="E98" s="4" t="s">
        <v>12</v>
      </c>
      <c r="F98" s="3" t="s">
        <v>185</v>
      </c>
      <c r="G98" s="3" t="s">
        <v>1192</v>
      </c>
      <c r="H98" s="3"/>
      <c r="I98" s="3" t="s">
        <v>1141</v>
      </c>
      <c r="J98" s="3" t="s">
        <v>1141</v>
      </c>
      <c r="K98" s="6">
        <v>-210.66</v>
      </c>
      <c r="L98" s="6">
        <v>-210.66</v>
      </c>
      <c r="M98" s="3" t="s">
        <v>1193</v>
      </c>
      <c r="N98" s="18" t="s">
        <v>933</v>
      </c>
      <c r="O98" s="5" t="s">
        <v>221</v>
      </c>
      <c r="P98" s="5" t="s">
        <v>186</v>
      </c>
      <c r="Q98" s="5" t="s">
        <v>1194</v>
      </c>
      <c r="R98" s="5" t="s">
        <v>221</v>
      </c>
    </row>
    <row r="99" spans="1:18" ht="13.05" customHeight="1" x14ac:dyDescent="0.3">
      <c r="A99" s="3" t="s">
        <v>10</v>
      </c>
      <c r="B99" s="3" t="s">
        <v>11</v>
      </c>
      <c r="C99" s="4" t="s">
        <v>12</v>
      </c>
      <c r="D99" s="3" t="s">
        <v>929</v>
      </c>
      <c r="E99" s="4" t="s">
        <v>12</v>
      </c>
      <c r="F99" s="3" t="s">
        <v>187</v>
      </c>
      <c r="G99" s="3" t="s">
        <v>1195</v>
      </c>
      <c r="H99" s="3"/>
      <c r="I99" s="3" t="s">
        <v>1141</v>
      </c>
      <c r="J99" s="3" t="s">
        <v>1141</v>
      </c>
      <c r="K99" s="6">
        <v>-368.85</v>
      </c>
      <c r="L99" s="6">
        <v>-368.85</v>
      </c>
      <c r="M99" s="3" t="s">
        <v>1196</v>
      </c>
      <c r="N99" s="18" t="s">
        <v>933</v>
      </c>
      <c r="O99" s="5" t="s">
        <v>221</v>
      </c>
      <c r="P99" s="5" t="s">
        <v>188</v>
      </c>
      <c r="Q99" s="5" t="s">
        <v>1197</v>
      </c>
      <c r="R99" s="5" t="s">
        <v>221</v>
      </c>
    </row>
    <row r="100" spans="1:18" ht="13.05" customHeight="1" x14ac:dyDescent="0.3">
      <c r="A100" s="3" t="s">
        <v>10</v>
      </c>
      <c r="B100" s="3" t="s">
        <v>11</v>
      </c>
      <c r="C100" s="4" t="s">
        <v>12</v>
      </c>
      <c r="D100" s="3" t="s">
        <v>929</v>
      </c>
      <c r="E100" s="4" t="s">
        <v>12</v>
      </c>
      <c r="F100" s="3" t="s">
        <v>193</v>
      </c>
      <c r="G100" s="3" t="s">
        <v>1198</v>
      </c>
      <c r="H100" s="3"/>
      <c r="I100" s="3" t="s">
        <v>1141</v>
      </c>
      <c r="J100" s="3" t="s">
        <v>1141</v>
      </c>
      <c r="K100" s="6">
        <v>-75.61</v>
      </c>
      <c r="L100" s="6">
        <v>-75.61</v>
      </c>
      <c r="M100" s="3" t="s">
        <v>1199</v>
      </c>
      <c r="N100" s="18" t="s">
        <v>933</v>
      </c>
      <c r="O100" s="5" t="s">
        <v>221</v>
      </c>
      <c r="P100" s="5" t="s">
        <v>194</v>
      </c>
      <c r="Q100" s="5" t="s">
        <v>1200</v>
      </c>
      <c r="R100" s="5" t="s">
        <v>221</v>
      </c>
    </row>
    <row r="101" spans="1:18" ht="13.05" customHeight="1" x14ac:dyDescent="0.3">
      <c r="A101" s="3" t="s">
        <v>10</v>
      </c>
      <c r="B101" s="3" t="s">
        <v>11</v>
      </c>
      <c r="C101" s="4" t="s">
        <v>12</v>
      </c>
      <c r="D101" s="3" t="s">
        <v>929</v>
      </c>
      <c r="E101" s="4" t="s">
        <v>12</v>
      </c>
      <c r="F101" s="3" t="s">
        <v>197</v>
      </c>
      <c r="G101" s="3" t="s">
        <v>1201</v>
      </c>
      <c r="H101" s="3"/>
      <c r="I101" s="3" t="s">
        <v>1141</v>
      </c>
      <c r="J101" s="3" t="s">
        <v>1141</v>
      </c>
      <c r="K101" s="6">
        <v>-84.84</v>
      </c>
      <c r="L101" s="6">
        <v>-84.84</v>
      </c>
      <c r="M101" s="3" t="s">
        <v>1202</v>
      </c>
      <c r="N101" s="18" t="s">
        <v>933</v>
      </c>
      <c r="O101" s="5" t="s">
        <v>221</v>
      </c>
      <c r="P101" s="5" t="s">
        <v>198</v>
      </c>
      <c r="Q101" s="5" t="s">
        <v>1203</v>
      </c>
      <c r="R101" s="5" t="s">
        <v>221</v>
      </c>
    </row>
    <row r="102" spans="1:18" ht="13.05" customHeight="1" x14ac:dyDescent="0.3">
      <c r="A102" s="3" t="s">
        <v>10</v>
      </c>
      <c r="B102" s="3" t="s">
        <v>11</v>
      </c>
      <c r="C102" s="4" t="s">
        <v>12</v>
      </c>
      <c r="D102" s="3" t="s">
        <v>929</v>
      </c>
      <c r="E102" s="4" t="s">
        <v>12</v>
      </c>
      <c r="F102" s="3" t="s">
        <v>107</v>
      </c>
      <c r="G102" s="3" t="s">
        <v>1204</v>
      </c>
      <c r="H102" s="3"/>
      <c r="I102" s="3" t="s">
        <v>1205</v>
      </c>
      <c r="J102" s="3" t="s">
        <v>1205</v>
      </c>
      <c r="K102" s="6">
        <v>-40046.239999999998</v>
      </c>
      <c r="L102" s="6">
        <v>-40046.239999999998</v>
      </c>
      <c r="M102" s="3" t="s">
        <v>1206</v>
      </c>
      <c r="N102" s="18" t="s">
        <v>933</v>
      </c>
      <c r="O102" s="5" t="s">
        <v>221</v>
      </c>
      <c r="P102" s="5" t="s">
        <v>109</v>
      </c>
      <c r="Q102" s="5" t="s">
        <v>1207</v>
      </c>
      <c r="R102" s="5" t="s">
        <v>221</v>
      </c>
    </row>
    <row r="103" spans="1:18" ht="13.05" customHeight="1" x14ac:dyDescent="0.3">
      <c r="A103" s="3" t="s">
        <v>10</v>
      </c>
      <c r="B103" s="3" t="s">
        <v>11</v>
      </c>
      <c r="C103" s="4" t="s">
        <v>12</v>
      </c>
      <c r="D103" s="3" t="s">
        <v>929</v>
      </c>
      <c r="E103" s="4" t="s">
        <v>12</v>
      </c>
      <c r="F103" s="3" t="s">
        <v>112</v>
      </c>
      <c r="G103" s="3" t="s">
        <v>935</v>
      </c>
      <c r="H103" s="3"/>
      <c r="I103" s="3" t="s">
        <v>1205</v>
      </c>
      <c r="J103" s="3" t="s">
        <v>1205</v>
      </c>
      <c r="K103" s="6">
        <v>-228.69</v>
      </c>
      <c r="L103" s="6">
        <v>-228.69</v>
      </c>
      <c r="M103" s="3" t="s">
        <v>1208</v>
      </c>
      <c r="N103" s="18" t="s">
        <v>933</v>
      </c>
      <c r="O103" s="5" t="s">
        <v>221</v>
      </c>
      <c r="P103" s="5" t="s">
        <v>113</v>
      </c>
      <c r="Q103" s="5" t="s">
        <v>1209</v>
      </c>
      <c r="R103" s="5" t="s">
        <v>221</v>
      </c>
    </row>
    <row r="104" spans="1:18" ht="13.05" customHeight="1" x14ac:dyDescent="0.3">
      <c r="A104" s="3" t="s">
        <v>10</v>
      </c>
      <c r="B104" s="3" t="s">
        <v>11</v>
      </c>
      <c r="C104" s="4" t="s">
        <v>12</v>
      </c>
      <c r="D104" s="3" t="s">
        <v>929</v>
      </c>
      <c r="E104" s="4" t="s">
        <v>12</v>
      </c>
      <c r="F104" s="3" t="s">
        <v>114</v>
      </c>
      <c r="G104" s="3" t="s">
        <v>938</v>
      </c>
      <c r="H104" s="3"/>
      <c r="I104" s="3" t="s">
        <v>1205</v>
      </c>
      <c r="J104" s="3" t="s">
        <v>1205</v>
      </c>
      <c r="K104" s="6">
        <v>-304.92</v>
      </c>
      <c r="L104" s="6">
        <v>-304.92</v>
      </c>
      <c r="M104" s="3" t="s">
        <v>1210</v>
      </c>
      <c r="N104" s="18" t="s">
        <v>933</v>
      </c>
      <c r="O104" s="5" t="s">
        <v>221</v>
      </c>
      <c r="P104" s="5" t="s">
        <v>115</v>
      </c>
      <c r="Q104" s="5" t="s">
        <v>1211</v>
      </c>
      <c r="R104" s="5" t="s">
        <v>221</v>
      </c>
    </row>
    <row r="105" spans="1:18" ht="13.05" customHeight="1" x14ac:dyDescent="0.3">
      <c r="A105" s="3" t="s">
        <v>10</v>
      </c>
      <c r="B105" s="3" t="s">
        <v>11</v>
      </c>
      <c r="C105" s="4" t="s">
        <v>12</v>
      </c>
      <c r="D105" s="3" t="s">
        <v>929</v>
      </c>
      <c r="E105" s="4" t="s">
        <v>12</v>
      </c>
      <c r="F105" s="3" t="s">
        <v>118</v>
      </c>
      <c r="G105" s="3" t="s">
        <v>1212</v>
      </c>
      <c r="H105" s="3"/>
      <c r="I105" s="3" t="s">
        <v>1205</v>
      </c>
      <c r="J105" s="3" t="s">
        <v>1205</v>
      </c>
      <c r="K105" s="6">
        <v>-572.09</v>
      </c>
      <c r="L105" s="6">
        <v>-572.09</v>
      </c>
      <c r="M105" s="3" t="s">
        <v>1213</v>
      </c>
      <c r="N105" s="18" t="s">
        <v>933</v>
      </c>
      <c r="O105" s="5" t="s">
        <v>221</v>
      </c>
      <c r="P105" s="5" t="s">
        <v>119</v>
      </c>
      <c r="Q105" s="5" t="s">
        <v>1214</v>
      </c>
      <c r="R105" s="5" t="s">
        <v>221</v>
      </c>
    </row>
    <row r="106" spans="1:18" ht="13.05" customHeight="1" x14ac:dyDescent="0.3">
      <c r="A106" s="3" t="s">
        <v>10</v>
      </c>
      <c r="B106" s="3" t="s">
        <v>11</v>
      </c>
      <c r="C106" s="4" t="s">
        <v>12</v>
      </c>
      <c r="D106" s="3" t="s">
        <v>929</v>
      </c>
      <c r="E106" s="4" t="s">
        <v>12</v>
      </c>
      <c r="F106" s="3" t="s">
        <v>124</v>
      </c>
      <c r="G106" s="3" t="s">
        <v>944</v>
      </c>
      <c r="H106" s="3"/>
      <c r="I106" s="3" t="s">
        <v>1205</v>
      </c>
      <c r="J106" s="3" t="s">
        <v>1205</v>
      </c>
      <c r="K106" s="6">
        <v>-1705.08</v>
      </c>
      <c r="L106" s="6">
        <v>-1705.08</v>
      </c>
      <c r="M106" s="3" t="s">
        <v>1215</v>
      </c>
      <c r="N106" s="18" t="s">
        <v>933</v>
      </c>
      <c r="O106" s="5" t="s">
        <v>221</v>
      </c>
      <c r="P106" s="5" t="s">
        <v>125</v>
      </c>
      <c r="Q106" s="5" t="s">
        <v>1216</v>
      </c>
      <c r="R106" s="5" t="s">
        <v>221</v>
      </c>
    </row>
    <row r="107" spans="1:18" ht="13.05" customHeight="1" x14ac:dyDescent="0.3">
      <c r="A107" s="3" t="s">
        <v>10</v>
      </c>
      <c r="B107" s="3" t="s">
        <v>11</v>
      </c>
      <c r="C107" s="4" t="s">
        <v>12</v>
      </c>
      <c r="D107" s="3" t="s">
        <v>929</v>
      </c>
      <c r="E107" s="4" t="s">
        <v>12</v>
      </c>
      <c r="F107" s="3" t="s">
        <v>126</v>
      </c>
      <c r="G107" s="3" t="s">
        <v>947</v>
      </c>
      <c r="H107" s="3"/>
      <c r="I107" s="3" t="s">
        <v>1205</v>
      </c>
      <c r="J107" s="3" t="s">
        <v>1205</v>
      </c>
      <c r="K107" s="6">
        <v>-2964.48</v>
      </c>
      <c r="L107" s="6">
        <v>-2964.48</v>
      </c>
      <c r="M107" s="3" t="s">
        <v>1217</v>
      </c>
      <c r="N107" s="18" t="s">
        <v>933</v>
      </c>
      <c r="O107" s="5" t="s">
        <v>221</v>
      </c>
      <c r="P107" s="5" t="s">
        <v>127</v>
      </c>
      <c r="Q107" s="5" t="s">
        <v>1218</v>
      </c>
      <c r="R107" s="5" t="s">
        <v>221</v>
      </c>
    </row>
    <row r="108" spans="1:18" ht="13.05" customHeight="1" x14ac:dyDescent="0.3">
      <c r="A108" s="3" t="s">
        <v>10</v>
      </c>
      <c r="B108" s="3" t="s">
        <v>11</v>
      </c>
      <c r="C108" s="4" t="s">
        <v>12</v>
      </c>
      <c r="D108" s="3" t="s">
        <v>929</v>
      </c>
      <c r="E108" s="4" t="s">
        <v>12</v>
      </c>
      <c r="F108" s="3" t="s">
        <v>132</v>
      </c>
      <c r="G108" s="3" t="s">
        <v>950</v>
      </c>
      <c r="H108" s="3"/>
      <c r="I108" s="3" t="s">
        <v>1205</v>
      </c>
      <c r="J108" s="3" t="s">
        <v>1205</v>
      </c>
      <c r="K108" s="6">
        <v>-569.42999999999995</v>
      </c>
      <c r="L108" s="6">
        <v>-569.42999999999995</v>
      </c>
      <c r="M108" s="3" t="s">
        <v>1219</v>
      </c>
      <c r="N108" s="18" t="s">
        <v>933</v>
      </c>
      <c r="O108" s="5" t="s">
        <v>221</v>
      </c>
      <c r="P108" s="5" t="s">
        <v>133</v>
      </c>
      <c r="Q108" s="5" t="s">
        <v>1220</v>
      </c>
      <c r="R108" s="5" t="s">
        <v>221</v>
      </c>
    </row>
    <row r="109" spans="1:18" ht="13.05" customHeight="1" x14ac:dyDescent="0.3">
      <c r="A109" s="3" t="s">
        <v>10</v>
      </c>
      <c r="B109" s="3" t="s">
        <v>11</v>
      </c>
      <c r="C109" s="4" t="s">
        <v>12</v>
      </c>
      <c r="D109" s="3" t="s">
        <v>929</v>
      </c>
      <c r="E109" s="4" t="s">
        <v>12</v>
      </c>
      <c r="F109" s="3" t="s">
        <v>140</v>
      </c>
      <c r="G109" s="3" t="s">
        <v>1004</v>
      </c>
      <c r="H109" s="3"/>
      <c r="I109" s="3" t="s">
        <v>1205</v>
      </c>
      <c r="J109" s="3" t="s">
        <v>1205</v>
      </c>
      <c r="K109" s="6">
        <v>-63.52</v>
      </c>
      <c r="L109" s="6">
        <v>-63.52</v>
      </c>
      <c r="M109" s="3" t="s">
        <v>1221</v>
      </c>
      <c r="N109" s="18" t="s">
        <v>933</v>
      </c>
      <c r="O109" s="5" t="s">
        <v>221</v>
      </c>
      <c r="P109" s="5" t="s">
        <v>141</v>
      </c>
      <c r="Q109" s="5" t="s">
        <v>1222</v>
      </c>
      <c r="R109" s="5" t="s">
        <v>221</v>
      </c>
    </row>
    <row r="110" spans="1:18" ht="13.05" customHeight="1" x14ac:dyDescent="0.3">
      <c r="A110" s="3" t="s">
        <v>10</v>
      </c>
      <c r="B110" s="3" t="s">
        <v>11</v>
      </c>
      <c r="C110" s="4" t="s">
        <v>12</v>
      </c>
      <c r="D110" s="3" t="s">
        <v>929</v>
      </c>
      <c r="E110" s="4" t="s">
        <v>12</v>
      </c>
      <c r="F110" s="3" t="s">
        <v>144</v>
      </c>
      <c r="G110" s="3" t="s">
        <v>1223</v>
      </c>
      <c r="H110" s="3"/>
      <c r="I110" s="3" t="s">
        <v>1205</v>
      </c>
      <c r="J110" s="3" t="s">
        <v>1205</v>
      </c>
      <c r="K110" s="6">
        <v>-4290.67</v>
      </c>
      <c r="L110" s="6">
        <v>-4290.67</v>
      </c>
      <c r="M110" s="3" t="s">
        <v>1224</v>
      </c>
      <c r="N110" s="18" t="s">
        <v>933</v>
      </c>
      <c r="O110" s="5" t="s">
        <v>221</v>
      </c>
      <c r="P110" s="5" t="s">
        <v>145</v>
      </c>
      <c r="Q110" s="5" t="s">
        <v>1225</v>
      </c>
      <c r="R110" s="5" t="s">
        <v>221</v>
      </c>
    </row>
    <row r="111" spans="1:18" ht="13.05" customHeight="1" x14ac:dyDescent="0.3">
      <c r="A111" s="3" t="s">
        <v>10</v>
      </c>
      <c r="B111" s="3" t="s">
        <v>11</v>
      </c>
      <c r="C111" s="4" t="s">
        <v>12</v>
      </c>
      <c r="D111" s="3" t="s">
        <v>929</v>
      </c>
      <c r="E111" s="4" t="s">
        <v>12</v>
      </c>
      <c r="F111" s="3" t="s">
        <v>146</v>
      </c>
      <c r="G111" s="3" t="s">
        <v>956</v>
      </c>
      <c r="H111" s="3"/>
      <c r="I111" s="3" t="s">
        <v>1205</v>
      </c>
      <c r="J111" s="3" t="s">
        <v>1205</v>
      </c>
      <c r="K111" s="6">
        <v>-1172.03</v>
      </c>
      <c r="L111" s="6">
        <v>-1172.03</v>
      </c>
      <c r="M111" s="3" t="s">
        <v>1226</v>
      </c>
      <c r="N111" s="18" t="s">
        <v>933</v>
      </c>
      <c r="O111" s="5" t="s">
        <v>221</v>
      </c>
      <c r="P111" s="5" t="s">
        <v>147</v>
      </c>
      <c r="Q111" s="5" t="s">
        <v>1227</v>
      </c>
      <c r="R111" s="5" t="s">
        <v>221</v>
      </c>
    </row>
    <row r="112" spans="1:18" ht="13.05" customHeight="1" x14ac:dyDescent="0.3">
      <c r="A112" s="3" t="s">
        <v>10</v>
      </c>
      <c r="B112" s="3" t="s">
        <v>11</v>
      </c>
      <c r="C112" s="4" t="s">
        <v>12</v>
      </c>
      <c r="D112" s="3" t="s">
        <v>929</v>
      </c>
      <c r="E112" s="4" t="s">
        <v>12</v>
      </c>
      <c r="F112" s="3" t="s">
        <v>148</v>
      </c>
      <c r="G112" s="3" t="s">
        <v>959</v>
      </c>
      <c r="H112" s="3"/>
      <c r="I112" s="3" t="s">
        <v>1205</v>
      </c>
      <c r="J112" s="3" t="s">
        <v>1205</v>
      </c>
      <c r="K112" s="6">
        <v>-53.15</v>
      </c>
      <c r="L112" s="6">
        <v>-53.15</v>
      </c>
      <c r="M112" s="3" t="s">
        <v>1228</v>
      </c>
      <c r="N112" s="18" t="s">
        <v>933</v>
      </c>
      <c r="O112" s="5" t="s">
        <v>221</v>
      </c>
      <c r="P112" s="5" t="s">
        <v>149</v>
      </c>
      <c r="Q112" s="5" t="s">
        <v>1229</v>
      </c>
      <c r="R112" s="5" t="s">
        <v>221</v>
      </c>
    </row>
    <row r="113" spans="1:18" ht="13.05" customHeight="1" x14ac:dyDescent="0.3">
      <c r="A113" s="3" t="s">
        <v>10</v>
      </c>
      <c r="B113" s="3" t="s">
        <v>11</v>
      </c>
      <c r="C113" s="4" t="s">
        <v>12</v>
      </c>
      <c r="D113" s="3" t="s">
        <v>929</v>
      </c>
      <c r="E113" s="4" t="s">
        <v>12</v>
      </c>
      <c r="F113" s="3" t="s">
        <v>150</v>
      </c>
      <c r="G113" s="3" t="s">
        <v>1014</v>
      </c>
      <c r="H113" s="3"/>
      <c r="I113" s="3" t="s">
        <v>1205</v>
      </c>
      <c r="J113" s="3" t="s">
        <v>1205</v>
      </c>
      <c r="K113" s="6">
        <v>-931.69</v>
      </c>
      <c r="L113" s="6">
        <v>-931.69</v>
      </c>
      <c r="M113" s="3" t="s">
        <v>1230</v>
      </c>
      <c r="N113" s="18" t="s">
        <v>933</v>
      </c>
      <c r="O113" s="5" t="s">
        <v>221</v>
      </c>
      <c r="P113" s="5" t="s">
        <v>151</v>
      </c>
      <c r="Q113" s="5" t="s">
        <v>1231</v>
      </c>
      <c r="R113" s="5" t="s">
        <v>221</v>
      </c>
    </row>
    <row r="114" spans="1:18" ht="13.05" customHeight="1" x14ac:dyDescent="0.3">
      <c r="A114" s="3" t="s">
        <v>10</v>
      </c>
      <c r="B114" s="3" t="s">
        <v>11</v>
      </c>
      <c r="C114" s="4" t="s">
        <v>12</v>
      </c>
      <c r="D114" s="3" t="s">
        <v>929</v>
      </c>
      <c r="E114" s="4" t="s">
        <v>12</v>
      </c>
      <c r="F114" s="3" t="s">
        <v>154</v>
      </c>
      <c r="G114" s="3" t="s">
        <v>962</v>
      </c>
      <c r="H114" s="3"/>
      <c r="I114" s="3" t="s">
        <v>1205</v>
      </c>
      <c r="J114" s="3" t="s">
        <v>1205</v>
      </c>
      <c r="K114" s="6">
        <v>-850.11</v>
      </c>
      <c r="L114" s="6">
        <v>-850.11</v>
      </c>
      <c r="M114" s="3" t="s">
        <v>1232</v>
      </c>
      <c r="N114" s="18" t="s">
        <v>933</v>
      </c>
      <c r="O114" s="5" t="s">
        <v>221</v>
      </c>
      <c r="P114" s="5" t="s">
        <v>155</v>
      </c>
      <c r="Q114" s="5" t="s">
        <v>1233</v>
      </c>
      <c r="R114" s="5" t="s">
        <v>221</v>
      </c>
    </row>
    <row r="115" spans="1:18" ht="13.05" customHeight="1" x14ac:dyDescent="0.3">
      <c r="A115" s="3" t="s">
        <v>10</v>
      </c>
      <c r="B115" s="3" t="s">
        <v>11</v>
      </c>
      <c r="C115" s="4" t="s">
        <v>12</v>
      </c>
      <c r="D115" s="3" t="s">
        <v>929</v>
      </c>
      <c r="E115" s="4" t="s">
        <v>12</v>
      </c>
      <c r="F115" s="3" t="s">
        <v>174</v>
      </c>
      <c r="G115" s="3" t="s">
        <v>965</v>
      </c>
      <c r="H115" s="3"/>
      <c r="I115" s="3" t="s">
        <v>1205</v>
      </c>
      <c r="J115" s="3" t="s">
        <v>1205</v>
      </c>
      <c r="K115" s="6">
        <v>-577.95000000000005</v>
      </c>
      <c r="L115" s="6">
        <v>-577.95000000000005</v>
      </c>
      <c r="M115" s="3" t="s">
        <v>1234</v>
      </c>
      <c r="N115" s="18" t="s">
        <v>933</v>
      </c>
      <c r="O115" s="5" t="s">
        <v>221</v>
      </c>
      <c r="P115" s="5" t="s">
        <v>175</v>
      </c>
      <c r="Q115" s="5" t="s">
        <v>1235</v>
      </c>
      <c r="R115" s="5" t="s">
        <v>221</v>
      </c>
    </row>
    <row r="116" spans="1:18" ht="13.05" customHeight="1" x14ac:dyDescent="0.3">
      <c r="A116" s="3" t="s">
        <v>10</v>
      </c>
      <c r="B116" s="3" t="s">
        <v>11</v>
      </c>
      <c r="C116" s="4" t="s">
        <v>12</v>
      </c>
      <c r="D116" s="3" t="s">
        <v>929</v>
      </c>
      <c r="E116" s="4" t="s">
        <v>12</v>
      </c>
      <c r="F116" s="3" t="s">
        <v>174</v>
      </c>
      <c r="G116" s="3" t="s">
        <v>968</v>
      </c>
      <c r="H116" s="3"/>
      <c r="I116" s="3" t="s">
        <v>1205</v>
      </c>
      <c r="J116" s="3" t="s">
        <v>1205</v>
      </c>
      <c r="K116" s="6">
        <v>-559.02</v>
      </c>
      <c r="L116" s="6">
        <v>-559.02</v>
      </c>
      <c r="M116" s="3" t="s">
        <v>1236</v>
      </c>
      <c r="N116" s="18" t="s">
        <v>933</v>
      </c>
      <c r="O116" s="5" t="s">
        <v>221</v>
      </c>
      <c r="P116" s="5" t="s">
        <v>175</v>
      </c>
      <c r="Q116" s="5" t="s">
        <v>1237</v>
      </c>
      <c r="R116" s="5" t="s">
        <v>221</v>
      </c>
    </row>
    <row r="117" spans="1:18" ht="13.05" customHeight="1" x14ac:dyDescent="0.3">
      <c r="A117" s="3" t="s">
        <v>10</v>
      </c>
      <c r="B117" s="3" t="s">
        <v>11</v>
      </c>
      <c r="C117" s="4" t="s">
        <v>12</v>
      </c>
      <c r="D117" s="3" t="s">
        <v>929</v>
      </c>
      <c r="E117" s="4" t="s">
        <v>12</v>
      </c>
      <c r="F117" s="3" t="s">
        <v>176</v>
      </c>
      <c r="G117" s="3" t="s">
        <v>971</v>
      </c>
      <c r="H117" s="3"/>
      <c r="I117" s="3" t="s">
        <v>1205</v>
      </c>
      <c r="J117" s="3" t="s">
        <v>1205</v>
      </c>
      <c r="K117" s="6">
        <v>-2257.5700000000002</v>
      </c>
      <c r="L117" s="6">
        <v>-2257.5700000000002</v>
      </c>
      <c r="M117" s="3" t="s">
        <v>1238</v>
      </c>
      <c r="N117" s="18" t="s">
        <v>933</v>
      </c>
      <c r="O117" s="5" t="s">
        <v>221</v>
      </c>
      <c r="P117" s="5" t="s">
        <v>177</v>
      </c>
      <c r="Q117" s="5" t="s">
        <v>1239</v>
      </c>
      <c r="R117" s="5" t="s">
        <v>221</v>
      </c>
    </row>
    <row r="118" spans="1:18" ht="13.05" customHeight="1" x14ac:dyDescent="0.3">
      <c r="A118" s="3" t="s">
        <v>10</v>
      </c>
      <c r="B118" s="3" t="s">
        <v>11</v>
      </c>
      <c r="C118" s="4" t="s">
        <v>12</v>
      </c>
      <c r="D118" s="3" t="s">
        <v>929</v>
      </c>
      <c r="E118" s="4" t="s">
        <v>12</v>
      </c>
      <c r="F118" s="3" t="s">
        <v>183</v>
      </c>
      <c r="G118" s="3" t="s">
        <v>974</v>
      </c>
      <c r="H118" s="3"/>
      <c r="I118" s="3" t="s">
        <v>1205</v>
      </c>
      <c r="J118" s="3" t="s">
        <v>1205</v>
      </c>
      <c r="K118" s="6">
        <v>-371.92</v>
      </c>
      <c r="L118" s="6">
        <v>-371.92</v>
      </c>
      <c r="M118" s="3" t="s">
        <v>1240</v>
      </c>
      <c r="N118" s="18" t="s">
        <v>933</v>
      </c>
      <c r="O118" s="5" t="s">
        <v>221</v>
      </c>
      <c r="P118" s="5" t="s">
        <v>184</v>
      </c>
      <c r="Q118" s="5" t="s">
        <v>1241</v>
      </c>
      <c r="R118" s="5" t="s">
        <v>221</v>
      </c>
    </row>
    <row r="119" spans="1:18" ht="13.05" customHeight="1" x14ac:dyDescent="0.3">
      <c r="A119" s="3" t="s">
        <v>10</v>
      </c>
      <c r="B119" s="3" t="s">
        <v>11</v>
      </c>
      <c r="C119" s="4" t="s">
        <v>12</v>
      </c>
      <c r="D119" s="3" t="s">
        <v>929</v>
      </c>
      <c r="E119" s="4" t="s">
        <v>12</v>
      </c>
      <c r="F119" s="3" t="s">
        <v>185</v>
      </c>
      <c r="G119" s="3" t="s">
        <v>977</v>
      </c>
      <c r="H119" s="3"/>
      <c r="I119" s="3" t="s">
        <v>1205</v>
      </c>
      <c r="J119" s="3" t="s">
        <v>1205</v>
      </c>
      <c r="K119" s="6">
        <v>-217.68</v>
      </c>
      <c r="L119" s="6">
        <v>-217.68</v>
      </c>
      <c r="M119" s="3" t="s">
        <v>1242</v>
      </c>
      <c r="N119" s="18" t="s">
        <v>933</v>
      </c>
      <c r="O119" s="5" t="s">
        <v>221</v>
      </c>
      <c r="P119" s="5" t="s">
        <v>186</v>
      </c>
      <c r="Q119" s="5" t="s">
        <v>1243</v>
      </c>
      <c r="R119" s="5" t="s">
        <v>221</v>
      </c>
    </row>
    <row r="120" spans="1:18" ht="13.05" customHeight="1" x14ac:dyDescent="0.3">
      <c r="A120" s="3" t="s">
        <v>10</v>
      </c>
      <c r="B120" s="3" t="s">
        <v>11</v>
      </c>
      <c r="C120" s="4" t="s">
        <v>12</v>
      </c>
      <c r="D120" s="3" t="s">
        <v>929</v>
      </c>
      <c r="E120" s="4" t="s">
        <v>12</v>
      </c>
      <c r="F120" s="3" t="s">
        <v>187</v>
      </c>
      <c r="G120" s="3" t="s">
        <v>980</v>
      </c>
      <c r="H120" s="3"/>
      <c r="I120" s="3" t="s">
        <v>1205</v>
      </c>
      <c r="J120" s="3" t="s">
        <v>1205</v>
      </c>
      <c r="K120" s="6">
        <v>-381.15</v>
      </c>
      <c r="L120" s="6">
        <v>-381.15</v>
      </c>
      <c r="M120" s="3" t="s">
        <v>1244</v>
      </c>
      <c r="N120" s="18" t="s">
        <v>933</v>
      </c>
      <c r="O120" s="5" t="s">
        <v>221</v>
      </c>
      <c r="P120" s="5" t="s">
        <v>188</v>
      </c>
      <c r="Q120" s="5" t="s">
        <v>1245</v>
      </c>
      <c r="R120" s="5" t="s">
        <v>221</v>
      </c>
    </row>
    <row r="121" spans="1:18" ht="13.05" customHeight="1" x14ac:dyDescent="0.3">
      <c r="A121" s="3" t="s">
        <v>10</v>
      </c>
      <c r="B121" s="3" t="s">
        <v>11</v>
      </c>
      <c r="C121" s="4" t="s">
        <v>12</v>
      </c>
      <c r="D121" s="3" t="s">
        <v>929</v>
      </c>
      <c r="E121" s="4" t="s">
        <v>12</v>
      </c>
      <c r="F121" s="3" t="s">
        <v>193</v>
      </c>
      <c r="G121" s="3" t="s">
        <v>983</v>
      </c>
      <c r="H121" s="3"/>
      <c r="I121" s="3" t="s">
        <v>1205</v>
      </c>
      <c r="J121" s="3" t="s">
        <v>1205</v>
      </c>
      <c r="K121" s="6">
        <v>-78.14</v>
      </c>
      <c r="L121" s="6">
        <v>-78.14</v>
      </c>
      <c r="M121" s="3" t="s">
        <v>1246</v>
      </c>
      <c r="N121" s="18" t="s">
        <v>933</v>
      </c>
      <c r="O121" s="5" t="s">
        <v>221</v>
      </c>
      <c r="P121" s="5" t="s">
        <v>194</v>
      </c>
      <c r="Q121" s="5" t="s">
        <v>1247</v>
      </c>
      <c r="R121" s="5" t="s">
        <v>221</v>
      </c>
    </row>
    <row r="122" spans="1:18" ht="13.05" customHeight="1" x14ac:dyDescent="0.3">
      <c r="A122" s="3" t="s">
        <v>10</v>
      </c>
      <c r="B122" s="3" t="s">
        <v>11</v>
      </c>
      <c r="C122" s="4" t="s">
        <v>12</v>
      </c>
      <c r="D122" s="3" t="s">
        <v>929</v>
      </c>
      <c r="E122" s="4" t="s">
        <v>12</v>
      </c>
      <c r="F122" s="3" t="s">
        <v>197</v>
      </c>
      <c r="G122" s="3" t="s">
        <v>986</v>
      </c>
      <c r="H122" s="3"/>
      <c r="I122" s="3" t="s">
        <v>1205</v>
      </c>
      <c r="J122" s="3" t="s">
        <v>1205</v>
      </c>
      <c r="K122" s="6">
        <v>-87.67</v>
      </c>
      <c r="L122" s="6">
        <v>-87.67</v>
      </c>
      <c r="M122" s="3" t="s">
        <v>1248</v>
      </c>
      <c r="N122" s="18" t="s">
        <v>933</v>
      </c>
      <c r="O122" s="5" t="s">
        <v>221</v>
      </c>
      <c r="P122" s="5" t="s">
        <v>198</v>
      </c>
      <c r="Q122" s="5" t="s">
        <v>1249</v>
      </c>
      <c r="R122" s="5" t="s">
        <v>221</v>
      </c>
    </row>
    <row r="123" spans="1:18" ht="13.05" customHeight="1" x14ac:dyDescent="0.3">
      <c r="A123" s="3" t="s">
        <v>10</v>
      </c>
      <c r="B123" s="3" t="s">
        <v>11</v>
      </c>
      <c r="C123" s="4" t="s">
        <v>12</v>
      </c>
      <c r="D123" s="3" t="s">
        <v>929</v>
      </c>
      <c r="E123" s="4" t="s">
        <v>12</v>
      </c>
      <c r="F123" s="3" t="s">
        <v>107</v>
      </c>
      <c r="G123" s="3" t="s">
        <v>1250</v>
      </c>
      <c r="H123" s="3"/>
      <c r="I123" s="3" t="s">
        <v>1251</v>
      </c>
      <c r="J123" s="3" t="s">
        <v>1251</v>
      </c>
      <c r="K123" s="6">
        <v>-38816.18</v>
      </c>
      <c r="L123" s="6">
        <v>-38816.18</v>
      </c>
      <c r="M123" s="3" t="s">
        <v>1252</v>
      </c>
      <c r="N123" s="18" t="s">
        <v>933</v>
      </c>
      <c r="O123" s="5" t="s">
        <v>221</v>
      </c>
      <c r="P123" s="5" t="s">
        <v>109</v>
      </c>
      <c r="Q123" s="5" t="s">
        <v>1253</v>
      </c>
      <c r="R123" s="5" t="s">
        <v>221</v>
      </c>
    </row>
    <row r="124" spans="1:18" ht="13.05" customHeight="1" x14ac:dyDescent="0.3">
      <c r="A124" s="3" t="s">
        <v>10</v>
      </c>
      <c r="B124" s="3" t="s">
        <v>11</v>
      </c>
      <c r="C124" s="4" t="s">
        <v>12</v>
      </c>
      <c r="D124" s="3" t="s">
        <v>929</v>
      </c>
      <c r="E124" s="4" t="s">
        <v>12</v>
      </c>
      <c r="F124" s="3" t="s">
        <v>112</v>
      </c>
      <c r="G124" s="3" t="s">
        <v>1144</v>
      </c>
      <c r="H124" s="3"/>
      <c r="I124" s="3" t="s">
        <v>1251</v>
      </c>
      <c r="J124" s="3" t="s">
        <v>1251</v>
      </c>
      <c r="K124" s="6">
        <v>-221.31</v>
      </c>
      <c r="L124" s="6">
        <v>-221.31</v>
      </c>
      <c r="M124" s="3" t="s">
        <v>1254</v>
      </c>
      <c r="N124" s="18" t="s">
        <v>933</v>
      </c>
      <c r="O124" s="5" t="s">
        <v>221</v>
      </c>
      <c r="P124" s="5" t="s">
        <v>113</v>
      </c>
      <c r="Q124" s="5" t="s">
        <v>1255</v>
      </c>
      <c r="R124" s="5" t="s">
        <v>221</v>
      </c>
    </row>
    <row r="125" spans="1:18" ht="13.05" customHeight="1" x14ac:dyDescent="0.3">
      <c r="A125" s="3" t="s">
        <v>10</v>
      </c>
      <c r="B125" s="3" t="s">
        <v>11</v>
      </c>
      <c r="C125" s="4" t="s">
        <v>12</v>
      </c>
      <c r="D125" s="3" t="s">
        <v>929</v>
      </c>
      <c r="E125" s="4" t="s">
        <v>12</v>
      </c>
      <c r="F125" s="3" t="s">
        <v>114</v>
      </c>
      <c r="G125" s="3" t="s">
        <v>1147</v>
      </c>
      <c r="H125" s="3"/>
      <c r="I125" s="3" t="s">
        <v>1251</v>
      </c>
      <c r="J125" s="3" t="s">
        <v>1251</v>
      </c>
      <c r="K125" s="6">
        <v>-295.08</v>
      </c>
      <c r="L125" s="6">
        <v>-295.08</v>
      </c>
      <c r="M125" s="3" t="s">
        <v>1256</v>
      </c>
      <c r="N125" s="18" t="s">
        <v>933</v>
      </c>
      <c r="O125" s="5" t="s">
        <v>221</v>
      </c>
      <c r="P125" s="5" t="s">
        <v>115</v>
      </c>
      <c r="Q125" s="5" t="s">
        <v>1257</v>
      </c>
      <c r="R125" s="5" t="s">
        <v>221</v>
      </c>
    </row>
    <row r="126" spans="1:18" ht="13.05" customHeight="1" x14ac:dyDescent="0.3">
      <c r="A126" s="3" t="s">
        <v>10</v>
      </c>
      <c r="B126" s="3" t="s">
        <v>11</v>
      </c>
      <c r="C126" s="4" t="s">
        <v>12</v>
      </c>
      <c r="D126" s="3" t="s">
        <v>929</v>
      </c>
      <c r="E126" s="4" t="s">
        <v>12</v>
      </c>
      <c r="F126" s="3" t="s">
        <v>118</v>
      </c>
      <c r="G126" s="3" t="s">
        <v>1258</v>
      </c>
      <c r="H126" s="3"/>
      <c r="I126" s="3" t="s">
        <v>1251</v>
      </c>
      <c r="J126" s="3" t="s">
        <v>1251</v>
      </c>
      <c r="K126" s="6">
        <v>-554.52</v>
      </c>
      <c r="L126" s="6">
        <v>-554.52</v>
      </c>
      <c r="M126" s="3" t="s">
        <v>1259</v>
      </c>
      <c r="N126" s="18" t="s">
        <v>933</v>
      </c>
      <c r="O126" s="5" t="s">
        <v>221</v>
      </c>
      <c r="P126" s="5" t="s">
        <v>119</v>
      </c>
      <c r="Q126" s="5" t="s">
        <v>1260</v>
      </c>
      <c r="R126" s="5" t="s">
        <v>221</v>
      </c>
    </row>
    <row r="127" spans="1:18" ht="13.05" customHeight="1" x14ac:dyDescent="0.3">
      <c r="A127" s="3" t="s">
        <v>10</v>
      </c>
      <c r="B127" s="3" t="s">
        <v>11</v>
      </c>
      <c r="C127" s="4" t="s">
        <v>12</v>
      </c>
      <c r="D127" s="3" t="s">
        <v>929</v>
      </c>
      <c r="E127" s="4" t="s">
        <v>12</v>
      </c>
      <c r="F127" s="3" t="s">
        <v>124</v>
      </c>
      <c r="G127" s="3" t="s">
        <v>1153</v>
      </c>
      <c r="H127" s="3"/>
      <c r="I127" s="3" t="s">
        <v>1251</v>
      </c>
      <c r="J127" s="3" t="s">
        <v>1251</v>
      </c>
      <c r="K127" s="6">
        <v>-1650.08</v>
      </c>
      <c r="L127" s="6">
        <v>-1650.08</v>
      </c>
      <c r="M127" s="3" t="s">
        <v>1261</v>
      </c>
      <c r="N127" s="18" t="s">
        <v>933</v>
      </c>
      <c r="O127" s="5" t="s">
        <v>221</v>
      </c>
      <c r="P127" s="5" t="s">
        <v>125</v>
      </c>
      <c r="Q127" s="5" t="s">
        <v>1262</v>
      </c>
      <c r="R127" s="5" t="s">
        <v>221</v>
      </c>
    </row>
    <row r="128" spans="1:18" ht="13.05" customHeight="1" x14ac:dyDescent="0.3">
      <c r="A128" s="3" t="s">
        <v>10</v>
      </c>
      <c r="B128" s="3" t="s">
        <v>11</v>
      </c>
      <c r="C128" s="4" t="s">
        <v>12</v>
      </c>
      <c r="D128" s="3" t="s">
        <v>929</v>
      </c>
      <c r="E128" s="4" t="s">
        <v>12</v>
      </c>
      <c r="F128" s="3" t="s">
        <v>126</v>
      </c>
      <c r="G128" s="3" t="s">
        <v>1156</v>
      </c>
      <c r="H128" s="3"/>
      <c r="I128" s="3" t="s">
        <v>1251</v>
      </c>
      <c r="J128" s="3" t="s">
        <v>1251</v>
      </c>
      <c r="K128" s="6">
        <v>-2868.85</v>
      </c>
      <c r="L128" s="6">
        <v>-2868.85</v>
      </c>
      <c r="M128" s="3" t="s">
        <v>1263</v>
      </c>
      <c r="N128" s="18" t="s">
        <v>933</v>
      </c>
      <c r="O128" s="5" t="s">
        <v>221</v>
      </c>
      <c r="P128" s="5" t="s">
        <v>127</v>
      </c>
      <c r="Q128" s="5" t="s">
        <v>1264</v>
      </c>
      <c r="R128" s="5" t="s">
        <v>221</v>
      </c>
    </row>
    <row r="129" spans="1:18" ht="13.05" customHeight="1" x14ac:dyDescent="0.3">
      <c r="A129" s="3" t="s">
        <v>10</v>
      </c>
      <c r="B129" s="3" t="s">
        <v>11</v>
      </c>
      <c r="C129" s="4" t="s">
        <v>12</v>
      </c>
      <c r="D129" s="3" t="s">
        <v>929</v>
      </c>
      <c r="E129" s="4" t="s">
        <v>12</v>
      </c>
      <c r="F129" s="3" t="s">
        <v>132</v>
      </c>
      <c r="G129" s="3" t="s">
        <v>1159</v>
      </c>
      <c r="H129" s="3"/>
      <c r="I129" s="3" t="s">
        <v>1251</v>
      </c>
      <c r="J129" s="3" t="s">
        <v>1251</v>
      </c>
      <c r="K129" s="6">
        <v>-551.07000000000005</v>
      </c>
      <c r="L129" s="6">
        <v>-551.07000000000005</v>
      </c>
      <c r="M129" s="3" t="s">
        <v>1265</v>
      </c>
      <c r="N129" s="18" t="s">
        <v>933</v>
      </c>
      <c r="O129" s="5" t="s">
        <v>221</v>
      </c>
      <c r="P129" s="5" t="s">
        <v>133</v>
      </c>
      <c r="Q129" s="5" t="s">
        <v>1266</v>
      </c>
      <c r="R129" s="5" t="s">
        <v>221</v>
      </c>
    </row>
    <row r="130" spans="1:18" ht="13.05" customHeight="1" x14ac:dyDescent="0.3">
      <c r="A130" s="3" t="s">
        <v>10</v>
      </c>
      <c r="B130" s="3" t="s">
        <v>11</v>
      </c>
      <c r="C130" s="4" t="s">
        <v>12</v>
      </c>
      <c r="D130" s="3" t="s">
        <v>929</v>
      </c>
      <c r="E130" s="4" t="s">
        <v>12</v>
      </c>
      <c r="F130" s="3" t="s">
        <v>140</v>
      </c>
      <c r="G130" s="3" t="s">
        <v>1162</v>
      </c>
      <c r="H130" s="3"/>
      <c r="I130" s="3" t="s">
        <v>1251</v>
      </c>
      <c r="J130" s="3" t="s">
        <v>1251</v>
      </c>
      <c r="K130" s="6">
        <v>-61.48</v>
      </c>
      <c r="L130" s="6">
        <v>-61.48</v>
      </c>
      <c r="M130" s="3" t="s">
        <v>1267</v>
      </c>
      <c r="N130" s="18" t="s">
        <v>933</v>
      </c>
      <c r="O130" s="5" t="s">
        <v>221</v>
      </c>
      <c r="P130" s="5" t="s">
        <v>141</v>
      </c>
      <c r="Q130" s="5" t="s">
        <v>1268</v>
      </c>
      <c r="R130" s="5" t="s">
        <v>221</v>
      </c>
    </row>
    <row r="131" spans="1:18" ht="13.05" customHeight="1" x14ac:dyDescent="0.3">
      <c r="A131" s="3" t="s">
        <v>10</v>
      </c>
      <c r="B131" s="3" t="s">
        <v>11</v>
      </c>
      <c r="C131" s="4" t="s">
        <v>12</v>
      </c>
      <c r="D131" s="3" t="s">
        <v>929</v>
      </c>
      <c r="E131" s="4" t="s">
        <v>12</v>
      </c>
      <c r="F131" s="3" t="s">
        <v>144</v>
      </c>
      <c r="G131" s="3" t="s">
        <v>1269</v>
      </c>
      <c r="H131" s="3"/>
      <c r="I131" s="3" t="s">
        <v>1251</v>
      </c>
      <c r="J131" s="3" t="s">
        <v>1251</v>
      </c>
      <c r="K131" s="6">
        <v>-4158.88</v>
      </c>
      <c r="L131" s="6">
        <v>-4158.88</v>
      </c>
      <c r="M131" s="3" t="s">
        <v>1270</v>
      </c>
      <c r="N131" s="18" t="s">
        <v>933</v>
      </c>
      <c r="O131" s="5" t="s">
        <v>221</v>
      </c>
      <c r="P131" s="5" t="s">
        <v>145</v>
      </c>
      <c r="Q131" s="5" t="s">
        <v>1271</v>
      </c>
      <c r="R131" s="5" t="s">
        <v>221</v>
      </c>
    </row>
    <row r="132" spans="1:18" ht="13.05" customHeight="1" x14ac:dyDescent="0.3">
      <c r="A132" s="3" t="s">
        <v>10</v>
      </c>
      <c r="B132" s="3" t="s">
        <v>11</v>
      </c>
      <c r="C132" s="4" t="s">
        <v>12</v>
      </c>
      <c r="D132" s="3" t="s">
        <v>929</v>
      </c>
      <c r="E132" s="4" t="s">
        <v>12</v>
      </c>
      <c r="F132" s="3" t="s">
        <v>146</v>
      </c>
      <c r="G132" s="3" t="s">
        <v>1168</v>
      </c>
      <c r="H132" s="3"/>
      <c r="I132" s="3" t="s">
        <v>1251</v>
      </c>
      <c r="J132" s="3" t="s">
        <v>1251</v>
      </c>
      <c r="K132" s="6">
        <v>-1134.22</v>
      </c>
      <c r="L132" s="6">
        <v>-1134.22</v>
      </c>
      <c r="M132" s="3" t="s">
        <v>1272</v>
      </c>
      <c r="N132" s="18" t="s">
        <v>933</v>
      </c>
      <c r="O132" s="5" t="s">
        <v>221</v>
      </c>
      <c r="P132" s="5" t="s">
        <v>147</v>
      </c>
      <c r="Q132" s="5" t="s">
        <v>1273</v>
      </c>
      <c r="R132" s="5" t="s">
        <v>221</v>
      </c>
    </row>
    <row r="133" spans="1:18" ht="13.05" customHeight="1" x14ac:dyDescent="0.3">
      <c r="A133" s="3" t="s">
        <v>10</v>
      </c>
      <c r="B133" s="3" t="s">
        <v>11</v>
      </c>
      <c r="C133" s="4" t="s">
        <v>12</v>
      </c>
      <c r="D133" s="3" t="s">
        <v>929</v>
      </c>
      <c r="E133" s="4" t="s">
        <v>12</v>
      </c>
      <c r="F133" s="3" t="s">
        <v>148</v>
      </c>
      <c r="G133" s="3" t="s">
        <v>1171</v>
      </c>
      <c r="H133" s="3"/>
      <c r="I133" s="3" t="s">
        <v>1251</v>
      </c>
      <c r="J133" s="3" t="s">
        <v>1251</v>
      </c>
      <c r="K133" s="6">
        <v>-51.43</v>
      </c>
      <c r="L133" s="6">
        <v>-51.43</v>
      </c>
      <c r="M133" s="3" t="s">
        <v>1274</v>
      </c>
      <c r="N133" s="18" t="s">
        <v>933</v>
      </c>
      <c r="O133" s="5" t="s">
        <v>221</v>
      </c>
      <c r="P133" s="5" t="s">
        <v>149</v>
      </c>
      <c r="Q133" s="5" t="s">
        <v>1275</v>
      </c>
      <c r="R133" s="5" t="s">
        <v>221</v>
      </c>
    </row>
    <row r="134" spans="1:18" ht="13.05" customHeight="1" x14ac:dyDescent="0.3">
      <c r="A134" s="3" t="s">
        <v>10</v>
      </c>
      <c r="B134" s="3" t="s">
        <v>11</v>
      </c>
      <c r="C134" s="4" t="s">
        <v>12</v>
      </c>
      <c r="D134" s="3" t="s">
        <v>929</v>
      </c>
      <c r="E134" s="4" t="s">
        <v>12</v>
      </c>
      <c r="F134" s="3" t="s">
        <v>150</v>
      </c>
      <c r="G134" s="3" t="s">
        <v>1174</v>
      </c>
      <c r="H134" s="3"/>
      <c r="I134" s="3" t="s">
        <v>1251</v>
      </c>
      <c r="J134" s="3" t="s">
        <v>1251</v>
      </c>
      <c r="K134" s="6">
        <v>-901.64</v>
      </c>
      <c r="L134" s="6">
        <v>-901.64</v>
      </c>
      <c r="M134" s="3" t="s">
        <v>1276</v>
      </c>
      <c r="N134" s="18" t="s">
        <v>933</v>
      </c>
      <c r="O134" s="5" t="s">
        <v>221</v>
      </c>
      <c r="P134" s="5" t="s">
        <v>151</v>
      </c>
      <c r="Q134" s="5" t="s">
        <v>1277</v>
      </c>
      <c r="R134" s="5" t="s">
        <v>221</v>
      </c>
    </row>
    <row r="135" spans="1:18" ht="13.05" customHeight="1" x14ac:dyDescent="0.3">
      <c r="A135" s="3" t="s">
        <v>10</v>
      </c>
      <c r="B135" s="3" t="s">
        <v>11</v>
      </c>
      <c r="C135" s="4" t="s">
        <v>12</v>
      </c>
      <c r="D135" s="3" t="s">
        <v>929</v>
      </c>
      <c r="E135" s="4" t="s">
        <v>12</v>
      </c>
      <c r="F135" s="3" t="s">
        <v>154</v>
      </c>
      <c r="G135" s="3" t="s">
        <v>1177</v>
      </c>
      <c r="H135" s="3"/>
      <c r="I135" s="3" t="s">
        <v>1251</v>
      </c>
      <c r="J135" s="3" t="s">
        <v>1251</v>
      </c>
      <c r="K135" s="6">
        <v>-822.69</v>
      </c>
      <c r="L135" s="6">
        <v>-822.69</v>
      </c>
      <c r="M135" s="3" t="s">
        <v>1278</v>
      </c>
      <c r="N135" s="18" t="s">
        <v>933</v>
      </c>
      <c r="O135" s="5" t="s">
        <v>221</v>
      </c>
      <c r="P135" s="5" t="s">
        <v>155</v>
      </c>
      <c r="Q135" s="5" t="s">
        <v>1279</v>
      </c>
      <c r="R135" s="5" t="s">
        <v>221</v>
      </c>
    </row>
    <row r="136" spans="1:18" ht="13.05" customHeight="1" x14ac:dyDescent="0.3">
      <c r="A136" s="3" t="s">
        <v>10</v>
      </c>
      <c r="B136" s="3" t="s">
        <v>11</v>
      </c>
      <c r="C136" s="4" t="s">
        <v>12</v>
      </c>
      <c r="D136" s="3" t="s">
        <v>929</v>
      </c>
      <c r="E136" s="4" t="s">
        <v>12</v>
      </c>
      <c r="F136" s="3" t="s">
        <v>170</v>
      </c>
      <c r="G136" s="3" t="s">
        <v>1280</v>
      </c>
      <c r="H136" s="3"/>
      <c r="I136" s="3" t="s">
        <v>1251</v>
      </c>
      <c r="J136" s="3" t="s">
        <v>1251</v>
      </c>
      <c r="K136" s="6">
        <v>-995.72</v>
      </c>
      <c r="L136" s="6">
        <v>-995.72</v>
      </c>
      <c r="M136" s="3" t="s">
        <v>1281</v>
      </c>
      <c r="N136" s="18" t="s">
        <v>933</v>
      </c>
      <c r="O136" s="5" t="s">
        <v>221</v>
      </c>
      <c r="P136" s="5" t="s">
        <v>171</v>
      </c>
      <c r="Q136" s="5" t="s">
        <v>1282</v>
      </c>
      <c r="R136" s="5" t="s">
        <v>221</v>
      </c>
    </row>
    <row r="137" spans="1:18" ht="13.05" customHeight="1" x14ac:dyDescent="0.3">
      <c r="A137" s="3" t="s">
        <v>10</v>
      </c>
      <c r="B137" s="3" t="s">
        <v>11</v>
      </c>
      <c r="C137" s="4" t="s">
        <v>12</v>
      </c>
      <c r="D137" s="3" t="s">
        <v>929</v>
      </c>
      <c r="E137" s="4" t="s">
        <v>12</v>
      </c>
      <c r="F137" s="3" t="s">
        <v>174</v>
      </c>
      <c r="G137" s="3" t="s">
        <v>1180</v>
      </c>
      <c r="H137" s="3"/>
      <c r="I137" s="3" t="s">
        <v>1251</v>
      </c>
      <c r="J137" s="3" t="s">
        <v>1251</v>
      </c>
      <c r="K137" s="6">
        <v>-559.29999999999995</v>
      </c>
      <c r="L137" s="6">
        <v>-559.29999999999995</v>
      </c>
      <c r="M137" s="3" t="s">
        <v>1283</v>
      </c>
      <c r="N137" s="18" t="s">
        <v>933</v>
      </c>
      <c r="O137" s="5" t="s">
        <v>221</v>
      </c>
      <c r="P137" s="5" t="s">
        <v>175</v>
      </c>
      <c r="Q137" s="5" t="s">
        <v>1284</v>
      </c>
      <c r="R137" s="5" t="s">
        <v>221</v>
      </c>
    </row>
    <row r="138" spans="1:18" ht="13.05" customHeight="1" x14ac:dyDescent="0.3">
      <c r="A138" s="3" t="s">
        <v>10</v>
      </c>
      <c r="B138" s="3" t="s">
        <v>11</v>
      </c>
      <c r="C138" s="4" t="s">
        <v>12</v>
      </c>
      <c r="D138" s="3" t="s">
        <v>929</v>
      </c>
      <c r="E138" s="4" t="s">
        <v>12</v>
      </c>
      <c r="F138" s="3" t="s">
        <v>174</v>
      </c>
      <c r="G138" s="3" t="s">
        <v>1285</v>
      </c>
      <c r="H138" s="3"/>
      <c r="I138" s="3" t="s">
        <v>1251</v>
      </c>
      <c r="J138" s="3" t="s">
        <v>1251</v>
      </c>
      <c r="K138" s="6">
        <v>-983.61</v>
      </c>
      <c r="L138" s="6">
        <v>-983.61</v>
      </c>
      <c r="M138" s="3" t="s">
        <v>1286</v>
      </c>
      <c r="N138" s="18" t="s">
        <v>933</v>
      </c>
      <c r="O138" s="5" t="s">
        <v>221</v>
      </c>
      <c r="P138" s="5" t="s">
        <v>175</v>
      </c>
      <c r="Q138" s="5" t="s">
        <v>1287</v>
      </c>
      <c r="R138" s="5" t="s">
        <v>221</v>
      </c>
    </row>
    <row r="139" spans="1:18" ht="13.05" customHeight="1" x14ac:dyDescent="0.3">
      <c r="A139" s="3" t="s">
        <v>10</v>
      </c>
      <c r="B139" s="3" t="s">
        <v>11</v>
      </c>
      <c r="C139" s="4" t="s">
        <v>12</v>
      </c>
      <c r="D139" s="3" t="s">
        <v>929</v>
      </c>
      <c r="E139" s="4" t="s">
        <v>12</v>
      </c>
      <c r="F139" s="3" t="s">
        <v>174</v>
      </c>
      <c r="G139" s="3" t="s">
        <v>1183</v>
      </c>
      <c r="H139" s="3"/>
      <c r="I139" s="3" t="s">
        <v>1251</v>
      </c>
      <c r="J139" s="3" t="s">
        <v>1251</v>
      </c>
      <c r="K139" s="6">
        <v>-540.98</v>
      </c>
      <c r="L139" s="6">
        <v>-540.98</v>
      </c>
      <c r="M139" s="3" t="s">
        <v>1288</v>
      </c>
      <c r="N139" s="18" t="s">
        <v>933</v>
      </c>
      <c r="O139" s="5" t="s">
        <v>221</v>
      </c>
      <c r="P139" s="5" t="s">
        <v>175</v>
      </c>
      <c r="Q139" s="5" t="s">
        <v>1289</v>
      </c>
      <c r="R139" s="5" t="s">
        <v>221</v>
      </c>
    </row>
    <row r="140" spans="1:18" ht="13.05" customHeight="1" x14ac:dyDescent="0.3">
      <c r="A140" s="3" t="s">
        <v>10</v>
      </c>
      <c r="B140" s="3" t="s">
        <v>11</v>
      </c>
      <c r="C140" s="4" t="s">
        <v>12</v>
      </c>
      <c r="D140" s="3" t="s">
        <v>929</v>
      </c>
      <c r="E140" s="4" t="s">
        <v>12</v>
      </c>
      <c r="F140" s="3" t="s">
        <v>176</v>
      </c>
      <c r="G140" s="3" t="s">
        <v>1186</v>
      </c>
      <c r="H140" s="3"/>
      <c r="I140" s="3" t="s">
        <v>1251</v>
      </c>
      <c r="J140" s="3" t="s">
        <v>1251</v>
      </c>
      <c r="K140" s="6">
        <v>-2184.7399999999998</v>
      </c>
      <c r="L140" s="6">
        <v>-2184.7399999999998</v>
      </c>
      <c r="M140" s="3" t="s">
        <v>1290</v>
      </c>
      <c r="N140" s="18" t="s">
        <v>933</v>
      </c>
      <c r="O140" s="5" t="s">
        <v>221</v>
      </c>
      <c r="P140" s="5" t="s">
        <v>177</v>
      </c>
      <c r="Q140" s="5" t="s">
        <v>1291</v>
      </c>
      <c r="R140" s="5" t="s">
        <v>221</v>
      </c>
    </row>
    <row r="141" spans="1:18" ht="13.05" customHeight="1" x14ac:dyDescent="0.3">
      <c r="A141" s="3" t="s">
        <v>10</v>
      </c>
      <c r="B141" s="3" t="s">
        <v>11</v>
      </c>
      <c r="C141" s="4" t="s">
        <v>12</v>
      </c>
      <c r="D141" s="3" t="s">
        <v>929</v>
      </c>
      <c r="E141" s="4" t="s">
        <v>12</v>
      </c>
      <c r="F141" s="3" t="s">
        <v>183</v>
      </c>
      <c r="G141" s="3" t="s">
        <v>1189</v>
      </c>
      <c r="H141" s="3"/>
      <c r="I141" s="3" t="s">
        <v>1251</v>
      </c>
      <c r="J141" s="3" t="s">
        <v>1251</v>
      </c>
      <c r="K141" s="6">
        <v>-359.93</v>
      </c>
      <c r="L141" s="6">
        <v>-359.93</v>
      </c>
      <c r="M141" s="3" t="s">
        <v>1292</v>
      </c>
      <c r="N141" s="18" t="s">
        <v>933</v>
      </c>
      <c r="O141" s="5" t="s">
        <v>221</v>
      </c>
      <c r="P141" s="5" t="s">
        <v>184</v>
      </c>
      <c r="Q141" s="5" t="s">
        <v>1293</v>
      </c>
      <c r="R141" s="5" t="s">
        <v>221</v>
      </c>
    </row>
    <row r="142" spans="1:18" ht="13.05" customHeight="1" x14ac:dyDescent="0.3">
      <c r="A142" s="3" t="s">
        <v>10</v>
      </c>
      <c r="B142" s="3" t="s">
        <v>11</v>
      </c>
      <c r="C142" s="4" t="s">
        <v>12</v>
      </c>
      <c r="D142" s="3" t="s">
        <v>929</v>
      </c>
      <c r="E142" s="4" t="s">
        <v>12</v>
      </c>
      <c r="F142" s="3" t="s">
        <v>185</v>
      </c>
      <c r="G142" s="3" t="s">
        <v>1192</v>
      </c>
      <c r="H142" s="3"/>
      <c r="I142" s="3" t="s">
        <v>1251</v>
      </c>
      <c r="J142" s="3" t="s">
        <v>1251</v>
      </c>
      <c r="K142" s="6">
        <v>-210.66</v>
      </c>
      <c r="L142" s="6">
        <v>-210.66</v>
      </c>
      <c r="M142" s="3" t="s">
        <v>1294</v>
      </c>
      <c r="N142" s="18" t="s">
        <v>933</v>
      </c>
      <c r="O142" s="5" t="s">
        <v>221</v>
      </c>
      <c r="P142" s="5" t="s">
        <v>186</v>
      </c>
      <c r="Q142" s="5" t="s">
        <v>1295</v>
      </c>
      <c r="R142" s="5" t="s">
        <v>221</v>
      </c>
    </row>
    <row r="143" spans="1:18" ht="13.05" customHeight="1" x14ac:dyDescent="0.3">
      <c r="A143" s="3" t="s">
        <v>10</v>
      </c>
      <c r="B143" s="3" t="s">
        <v>11</v>
      </c>
      <c r="C143" s="4" t="s">
        <v>12</v>
      </c>
      <c r="D143" s="3" t="s">
        <v>929</v>
      </c>
      <c r="E143" s="4" t="s">
        <v>12</v>
      </c>
      <c r="F143" s="3" t="s">
        <v>187</v>
      </c>
      <c r="G143" s="3" t="s">
        <v>1195</v>
      </c>
      <c r="H143" s="3"/>
      <c r="I143" s="3" t="s">
        <v>1251</v>
      </c>
      <c r="J143" s="3" t="s">
        <v>1251</v>
      </c>
      <c r="K143" s="6">
        <v>-368.85</v>
      </c>
      <c r="L143" s="6">
        <v>-368.85</v>
      </c>
      <c r="M143" s="3" t="s">
        <v>1296</v>
      </c>
      <c r="N143" s="18" t="s">
        <v>933</v>
      </c>
      <c r="O143" s="5" t="s">
        <v>221</v>
      </c>
      <c r="P143" s="5" t="s">
        <v>188</v>
      </c>
      <c r="Q143" s="5" t="s">
        <v>108</v>
      </c>
      <c r="R143" s="5" t="s">
        <v>221</v>
      </c>
    </row>
    <row r="144" spans="1:18" ht="13.05" customHeight="1" x14ac:dyDescent="0.3">
      <c r="A144" s="3" t="s">
        <v>10</v>
      </c>
      <c r="B144" s="3" t="s">
        <v>11</v>
      </c>
      <c r="C144" s="4" t="s">
        <v>12</v>
      </c>
      <c r="D144" s="3" t="s">
        <v>929</v>
      </c>
      <c r="E144" s="4" t="s">
        <v>12</v>
      </c>
      <c r="F144" s="3" t="s">
        <v>193</v>
      </c>
      <c r="G144" s="3" t="s">
        <v>1198</v>
      </c>
      <c r="H144" s="3"/>
      <c r="I144" s="3" t="s">
        <v>1251</v>
      </c>
      <c r="J144" s="3" t="s">
        <v>1251</v>
      </c>
      <c r="K144" s="6">
        <v>-75.61</v>
      </c>
      <c r="L144" s="6">
        <v>-75.61</v>
      </c>
      <c r="M144" s="3" t="s">
        <v>1297</v>
      </c>
      <c r="N144" s="18" t="s">
        <v>933</v>
      </c>
      <c r="O144" s="5" t="s">
        <v>221</v>
      </c>
      <c r="P144" s="5" t="s">
        <v>194</v>
      </c>
      <c r="Q144" s="5" t="s">
        <v>1298</v>
      </c>
      <c r="R144" s="5" t="s">
        <v>221</v>
      </c>
    </row>
    <row r="145" spans="1:18" ht="13.05" customHeight="1" x14ac:dyDescent="0.3">
      <c r="A145" s="3" t="s">
        <v>10</v>
      </c>
      <c r="B145" s="3" t="s">
        <v>11</v>
      </c>
      <c r="C145" s="4" t="s">
        <v>12</v>
      </c>
      <c r="D145" s="3" t="s">
        <v>929</v>
      </c>
      <c r="E145" s="4" t="s">
        <v>12</v>
      </c>
      <c r="F145" s="3" t="s">
        <v>197</v>
      </c>
      <c r="G145" s="3" t="s">
        <v>1201</v>
      </c>
      <c r="H145" s="3"/>
      <c r="I145" s="3" t="s">
        <v>1251</v>
      </c>
      <c r="J145" s="3" t="s">
        <v>1251</v>
      </c>
      <c r="K145" s="6">
        <v>-84.84</v>
      </c>
      <c r="L145" s="6">
        <v>-84.84</v>
      </c>
      <c r="M145" s="3" t="s">
        <v>1299</v>
      </c>
      <c r="N145" s="18" t="s">
        <v>933</v>
      </c>
      <c r="O145" s="5" t="s">
        <v>221</v>
      </c>
      <c r="P145" s="5" t="s">
        <v>198</v>
      </c>
      <c r="Q145" s="5" t="s">
        <v>1300</v>
      </c>
      <c r="R145" s="5" t="s">
        <v>221</v>
      </c>
    </row>
    <row r="146" spans="1:18" ht="13.05" customHeight="1" x14ac:dyDescent="0.3">
      <c r="A146" s="3" t="s">
        <v>10</v>
      </c>
      <c r="B146" s="3" t="s">
        <v>11</v>
      </c>
      <c r="C146" s="4" t="s">
        <v>12</v>
      </c>
      <c r="D146" s="3" t="s">
        <v>929</v>
      </c>
      <c r="E146" s="4" t="s">
        <v>12</v>
      </c>
      <c r="F146" s="3" t="s">
        <v>107</v>
      </c>
      <c r="G146" s="3" t="s">
        <v>1301</v>
      </c>
      <c r="H146" s="3"/>
      <c r="I146" s="3" t="s">
        <v>1302</v>
      </c>
      <c r="J146" s="3" t="s">
        <v>1302</v>
      </c>
      <c r="K146" s="6">
        <v>-39720</v>
      </c>
      <c r="L146" s="6">
        <v>-39720</v>
      </c>
      <c r="M146" s="3" t="s">
        <v>1303</v>
      </c>
      <c r="N146" s="18" t="s">
        <v>933</v>
      </c>
      <c r="O146" s="5" t="s">
        <v>221</v>
      </c>
      <c r="P146" s="5" t="s">
        <v>109</v>
      </c>
      <c r="Q146" s="5" t="s">
        <v>1304</v>
      </c>
      <c r="R146" s="5" t="s">
        <v>221</v>
      </c>
    </row>
    <row r="147" spans="1:18" ht="13.05" customHeight="1" x14ac:dyDescent="0.3">
      <c r="A147" s="3" t="s">
        <v>10</v>
      </c>
      <c r="B147" s="3" t="s">
        <v>11</v>
      </c>
      <c r="C147" s="4" t="s">
        <v>12</v>
      </c>
      <c r="D147" s="3" t="s">
        <v>929</v>
      </c>
      <c r="E147" s="4" t="s">
        <v>12</v>
      </c>
      <c r="F147" s="3" t="s">
        <v>112</v>
      </c>
      <c r="G147" s="3" t="s">
        <v>935</v>
      </c>
      <c r="H147" s="3"/>
      <c r="I147" s="3" t="s">
        <v>1302</v>
      </c>
      <c r="J147" s="3" t="s">
        <v>1302</v>
      </c>
      <c r="K147" s="6">
        <v>-228.69</v>
      </c>
      <c r="L147" s="6">
        <v>-228.69</v>
      </c>
      <c r="M147" s="3" t="s">
        <v>1305</v>
      </c>
      <c r="N147" s="18" t="s">
        <v>933</v>
      </c>
      <c r="O147" s="5" t="s">
        <v>221</v>
      </c>
      <c r="P147" s="5" t="s">
        <v>113</v>
      </c>
      <c r="Q147" s="5" t="s">
        <v>706</v>
      </c>
      <c r="R147" s="5" t="s">
        <v>221</v>
      </c>
    </row>
    <row r="148" spans="1:18" ht="13.05" customHeight="1" x14ac:dyDescent="0.3">
      <c r="A148" s="3" t="s">
        <v>10</v>
      </c>
      <c r="B148" s="3" t="s">
        <v>11</v>
      </c>
      <c r="C148" s="4" t="s">
        <v>12</v>
      </c>
      <c r="D148" s="3" t="s">
        <v>929</v>
      </c>
      <c r="E148" s="4" t="s">
        <v>12</v>
      </c>
      <c r="F148" s="3" t="s">
        <v>114</v>
      </c>
      <c r="G148" s="3" t="s">
        <v>938</v>
      </c>
      <c r="H148" s="3"/>
      <c r="I148" s="3" t="s">
        <v>1302</v>
      </c>
      <c r="J148" s="3" t="s">
        <v>1302</v>
      </c>
      <c r="K148" s="6">
        <v>-304.92</v>
      </c>
      <c r="L148" s="6">
        <v>-304.92</v>
      </c>
      <c r="M148" s="3" t="s">
        <v>1306</v>
      </c>
      <c r="N148" s="18" t="s">
        <v>933</v>
      </c>
      <c r="O148" s="5" t="s">
        <v>221</v>
      </c>
      <c r="P148" s="5" t="s">
        <v>115</v>
      </c>
      <c r="Q148" s="5" t="s">
        <v>1307</v>
      </c>
      <c r="R148" s="5" t="s">
        <v>221</v>
      </c>
    </row>
    <row r="149" spans="1:18" ht="13.05" customHeight="1" x14ac:dyDescent="0.3">
      <c r="A149" s="3" t="s">
        <v>10</v>
      </c>
      <c r="B149" s="3" t="s">
        <v>11</v>
      </c>
      <c r="C149" s="4" t="s">
        <v>12</v>
      </c>
      <c r="D149" s="3" t="s">
        <v>929</v>
      </c>
      <c r="E149" s="4" t="s">
        <v>12</v>
      </c>
      <c r="F149" s="3" t="s">
        <v>118</v>
      </c>
      <c r="G149" s="3" t="s">
        <v>1308</v>
      </c>
      <c r="H149" s="3"/>
      <c r="I149" s="3" t="s">
        <v>1302</v>
      </c>
      <c r="J149" s="3" t="s">
        <v>1302</v>
      </c>
      <c r="K149" s="6">
        <v>-567.42999999999995</v>
      </c>
      <c r="L149" s="6">
        <v>-567.42999999999995</v>
      </c>
      <c r="M149" s="3" t="s">
        <v>1309</v>
      </c>
      <c r="N149" s="18" t="s">
        <v>933</v>
      </c>
      <c r="O149" s="5" t="s">
        <v>221</v>
      </c>
      <c r="P149" s="5" t="s">
        <v>119</v>
      </c>
      <c r="Q149" s="5" t="s">
        <v>1310</v>
      </c>
      <c r="R149" s="5" t="s">
        <v>221</v>
      </c>
    </row>
    <row r="150" spans="1:18" ht="13.05" customHeight="1" x14ac:dyDescent="0.3">
      <c r="A150" s="3" t="s">
        <v>10</v>
      </c>
      <c r="B150" s="3" t="s">
        <v>11</v>
      </c>
      <c r="C150" s="4" t="s">
        <v>12</v>
      </c>
      <c r="D150" s="3" t="s">
        <v>929</v>
      </c>
      <c r="E150" s="4" t="s">
        <v>12</v>
      </c>
      <c r="F150" s="3" t="s">
        <v>124</v>
      </c>
      <c r="G150" s="3" t="s">
        <v>944</v>
      </c>
      <c r="H150" s="3"/>
      <c r="I150" s="3" t="s">
        <v>1302</v>
      </c>
      <c r="J150" s="3" t="s">
        <v>1302</v>
      </c>
      <c r="K150" s="6">
        <v>-1705.08</v>
      </c>
      <c r="L150" s="6">
        <v>-1705.08</v>
      </c>
      <c r="M150" s="3" t="s">
        <v>1311</v>
      </c>
      <c r="N150" s="18" t="s">
        <v>933</v>
      </c>
      <c r="O150" s="5" t="s">
        <v>221</v>
      </c>
      <c r="P150" s="5" t="s">
        <v>125</v>
      </c>
      <c r="Q150" s="5" t="s">
        <v>1312</v>
      </c>
      <c r="R150" s="5" t="s">
        <v>221</v>
      </c>
    </row>
    <row r="151" spans="1:18" ht="13.05" customHeight="1" x14ac:dyDescent="0.3">
      <c r="A151" s="3" t="s">
        <v>10</v>
      </c>
      <c r="B151" s="3" t="s">
        <v>11</v>
      </c>
      <c r="C151" s="4" t="s">
        <v>12</v>
      </c>
      <c r="D151" s="3" t="s">
        <v>929</v>
      </c>
      <c r="E151" s="4" t="s">
        <v>12</v>
      </c>
      <c r="F151" s="3" t="s">
        <v>126</v>
      </c>
      <c r="G151" s="3" t="s">
        <v>947</v>
      </c>
      <c r="H151" s="3"/>
      <c r="I151" s="3" t="s">
        <v>1302</v>
      </c>
      <c r="J151" s="3" t="s">
        <v>1302</v>
      </c>
      <c r="K151" s="6">
        <v>-2964.48</v>
      </c>
      <c r="L151" s="6">
        <v>-2964.48</v>
      </c>
      <c r="M151" s="3" t="s">
        <v>1313</v>
      </c>
      <c r="N151" s="18" t="s">
        <v>933</v>
      </c>
      <c r="O151" s="5" t="s">
        <v>221</v>
      </c>
      <c r="P151" s="5" t="s">
        <v>127</v>
      </c>
      <c r="Q151" s="5" t="s">
        <v>1314</v>
      </c>
      <c r="R151" s="5" t="s">
        <v>221</v>
      </c>
    </row>
    <row r="152" spans="1:18" ht="13.05" customHeight="1" x14ac:dyDescent="0.3">
      <c r="A152" s="3" t="s">
        <v>10</v>
      </c>
      <c r="B152" s="3" t="s">
        <v>11</v>
      </c>
      <c r="C152" s="4" t="s">
        <v>12</v>
      </c>
      <c r="D152" s="3" t="s">
        <v>929</v>
      </c>
      <c r="E152" s="4" t="s">
        <v>12</v>
      </c>
      <c r="F152" s="3" t="s">
        <v>140</v>
      </c>
      <c r="G152" s="3" t="s">
        <v>1004</v>
      </c>
      <c r="H152" s="3"/>
      <c r="I152" s="3" t="s">
        <v>1302</v>
      </c>
      <c r="J152" s="3" t="s">
        <v>1302</v>
      </c>
      <c r="K152" s="6">
        <v>-63.52</v>
      </c>
      <c r="L152" s="6">
        <v>-63.52</v>
      </c>
      <c r="M152" s="3" t="s">
        <v>1315</v>
      </c>
      <c r="N152" s="18" t="s">
        <v>933</v>
      </c>
      <c r="O152" s="5" t="s">
        <v>221</v>
      </c>
      <c r="P152" s="5" t="s">
        <v>141</v>
      </c>
      <c r="Q152" s="5" t="s">
        <v>714</v>
      </c>
      <c r="R152" s="5" t="s">
        <v>221</v>
      </c>
    </row>
    <row r="153" spans="1:18" ht="13.05" customHeight="1" x14ac:dyDescent="0.3">
      <c r="A153" s="3" t="s">
        <v>10</v>
      </c>
      <c r="B153" s="3" t="s">
        <v>11</v>
      </c>
      <c r="C153" s="4" t="s">
        <v>12</v>
      </c>
      <c r="D153" s="3" t="s">
        <v>929</v>
      </c>
      <c r="E153" s="4" t="s">
        <v>12</v>
      </c>
      <c r="F153" s="3" t="s">
        <v>144</v>
      </c>
      <c r="G153" s="3" t="s">
        <v>1316</v>
      </c>
      <c r="H153" s="3"/>
      <c r="I153" s="3" t="s">
        <v>1302</v>
      </c>
      <c r="J153" s="3" t="s">
        <v>1302</v>
      </c>
      <c r="K153" s="6">
        <v>-4255.71</v>
      </c>
      <c r="L153" s="6">
        <v>-4255.71</v>
      </c>
      <c r="M153" s="3" t="s">
        <v>1317</v>
      </c>
      <c r="N153" s="18" t="s">
        <v>933</v>
      </c>
      <c r="O153" s="5" t="s">
        <v>221</v>
      </c>
      <c r="P153" s="5" t="s">
        <v>145</v>
      </c>
      <c r="Q153" s="5" t="s">
        <v>1318</v>
      </c>
      <c r="R153" s="5" t="s">
        <v>221</v>
      </c>
    </row>
    <row r="154" spans="1:18" ht="13.05" customHeight="1" x14ac:dyDescent="0.3">
      <c r="A154" s="3" t="s">
        <v>10</v>
      </c>
      <c r="B154" s="3" t="s">
        <v>11</v>
      </c>
      <c r="C154" s="4" t="s">
        <v>12</v>
      </c>
      <c r="D154" s="3" t="s">
        <v>929</v>
      </c>
      <c r="E154" s="4" t="s">
        <v>12</v>
      </c>
      <c r="F154" s="3" t="s">
        <v>148</v>
      </c>
      <c r="G154" s="3" t="s">
        <v>959</v>
      </c>
      <c r="H154" s="3"/>
      <c r="I154" s="3" t="s">
        <v>1302</v>
      </c>
      <c r="J154" s="3" t="s">
        <v>1302</v>
      </c>
      <c r="K154" s="6">
        <v>-53.15</v>
      </c>
      <c r="L154" s="6">
        <v>-53.15</v>
      </c>
      <c r="M154" s="3" t="s">
        <v>1319</v>
      </c>
      <c r="N154" s="18" t="s">
        <v>933</v>
      </c>
      <c r="O154" s="5" t="s">
        <v>221</v>
      </c>
      <c r="P154" s="5" t="s">
        <v>149</v>
      </c>
      <c r="Q154" s="5" t="s">
        <v>1320</v>
      </c>
      <c r="R154" s="5" t="s">
        <v>221</v>
      </c>
    </row>
    <row r="155" spans="1:18" ht="13.05" customHeight="1" x14ac:dyDescent="0.3">
      <c r="A155" s="3" t="s">
        <v>10</v>
      </c>
      <c r="B155" s="3" t="s">
        <v>11</v>
      </c>
      <c r="C155" s="4" t="s">
        <v>12</v>
      </c>
      <c r="D155" s="3" t="s">
        <v>929</v>
      </c>
      <c r="E155" s="4" t="s">
        <v>12</v>
      </c>
      <c r="F155" s="3" t="s">
        <v>150</v>
      </c>
      <c r="G155" s="3" t="s">
        <v>1014</v>
      </c>
      <c r="H155" s="3"/>
      <c r="I155" s="3" t="s">
        <v>1302</v>
      </c>
      <c r="J155" s="3" t="s">
        <v>1302</v>
      </c>
      <c r="K155" s="6">
        <v>-931.69</v>
      </c>
      <c r="L155" s="6">
        <v>-931.69</v>
      </c>
      <c r="M155" s="3" t="s">
        <v>1321</v>
      </c>
      <c r="N155" s="18" t="s">
        <v>933</v>
      </c>
      <c r="O155" s="5" t="s">
        <v>221</v>
      </c>
      <c r="P155" s="5" t="s">
        <v>151</v>
      </c>
      <c r="Q155" s="5" t="s">
        <v>697</v>
      </c>
      <c r="R155" s="5" t="s">
        <v>221</v>
      </c>
    </row>
    <row r="156" spans="1:18" ht="13.05" customHeight="1" x14ac:dyDescent="0.3">
      <c r="A156" s="3" t="s">
        <v>10</v>
      </c>
      <c r="B156" s="3" t="s">
        <v>11</v>
      </c>
      <c r="C156" s="4" t="s">
        <v>12</v>
      </c>
      <c r="D156" s="3" t="s">
        <v>929</v>
      </c>
      <c r="E156" s="4" t="s">
        <v>12</v>
      </c>
      <c r="F156" s="3" t="s">
        <v>154</v>
      </c>
      <c r="G156" s="3" t="s">
        <v>962</v>
      </c>
      <c r="H156" s="3"/>
      <c r="I156" s="3" t="s">
        <v>1302</v>
      </c>
      <c r="J156" s="3" t="s">
        <v>1302</v>
      </c>
      <c r="K156" s="6">
        <v>-850.11</v>
      </c>
      <c r="L156" s="6">
        <v>-850.11</v>
      </c>
      <c r="M156" s="3" t="s">
        <v>1322</v>
      </c>
      <c r="N156" s="18" t="s">
        <v>933</v>
      </c>
      <c r="O156" s="5" t="s">
        <v>221</v>
      </c>
      <c r="P156" s="5" t="s">
        <v>155</v>
      </c>
      <c r="Q156" s="5" t="s">
        <v>1323</v>
      </c>
      <c r="R156" s="5" t="s">
        <v>221</v>
      </c>
    </row>
    <row r="157" spans="1:18" ht="13.05" customHeight="1" x14ac:dyDescent="0.3">
      <c r="A157" s="3" t="s">
        <v>10</v>
      </c>
      <c r="B157" s="3" t="s">
        <v>11</v>
      </c>
      <c r="C157" s="4" t="s">
        <v>12</v>
      </c>
      <c r="D157" s="3" t="s">
        <v>929</v>
      </c>
      <c r="E157" s="4" t="s">
        <v>12</v>
      </c>
      <c r="F157" s="3" t="s">
        <v>174</v>
      </c>
      <c r="G157" s="3" t="s">
        <v>965</v>
      </c>
      <c r="H157" s="3"/>
      <c r="I157" s="3" t="s">
        <v>1302</v>
      </c>
      <c r="J157" s="3" t="s">
        <v>1302</v>
      </c>
      <c r="K157" s="6">
        <v>-577.95000000000005</v>
      </c>
      <c r="L157" s="6">
        <v>-577.95000000000005</v>
      </c>
      <c r="M157" s="3" t="s">
        <v>1324</v>
      </c>
      <c r="N157" s="18" t="s">
        <v>933</v>
      </c>
      <c r="O157" s="5" t="s">
        <v>221</v>
      </c>
      <c r="P157" s="5" t="s">
        <v>175</v>
      </c>
      <c r="Q157" s="5" t="s">
        <v>710</v>
      </c>
      <c r="R157" s="5" t="s">
        <v>221</v>
      </c>
    </row>
    <row r="158" spans="1:18" ht="13.05" customHeight="1" x14ac:dyDescent="0.3">
      <c r="A158" s="3" t="s">
        <v>10</v>
      </c>
      <c r="B158" s="3" t="s">
        <v>11</v>
      </c>
      <c r="C158" s="4" t="s">
        <v>12</v>
      </c>
      <c r="D158" s="3" t="s">
        <v>929</v>
      </c>
      <c r="E158" s="4" t="s">
        <v>12</v>
      </c>
      <c r="F158" s="3" t="s">
        <v>174</v>
      </c>
      <c r="G158" s="3" t="s">
        <v>968</v>
      </c>
      <c r="H158" s="3"/>
      <c r="I158" s="3" t="s">
        <v>1302</v>
      </c>
      <c r="J158" s="3" t="s">
        <v>1302</v>
      </c>
      <c r="K158" s="6">
        <v>-559.02</v>
      </c>
      <c r="L158" s="6">
        <v>-559.02</v>
      </c>
      <c r="M158" s="3" t="s">
        <v>1325</v>
      </c>
      <c r="N158" s="18" t="s">
        <v>933</v>
      </c>
      <c r="O158" s="5" t="s">
        <v>221</v>
      </c>
      <c r="P158" s="5" t="s">
        <v>175</v>
      </c>
      <c r="Q158" s="5" t="s">
        <v>1326</v>
      </c>
      <c r="R158" s="5" t="s">
        <v>221</v>
      </c>
    </row>
    <row r="159" spans="1:18" ht="13.05" customHeight="1" x14ac:dyDescent="0.3">
      <c r="A159" s="3" t="s">
        <v>10</v>
      </c>
      <c r="B159" s="3" t="s">
        <v>11</v>
      </c>
      <c r="C159" s="4" t="s">
        <v>12</v>
      </c>
      <c r="D159" s="3" t="s">
        <v>929</v>
      </c>
      <c r="E159" s="4" t="s">
        <v>12</v>
      </c>
      <c r="F159" s="3" t="s">
        <v>176</v>
      </c>
      <c r="G159" s="3" t="s">
        <v>971</v>
      </c>
      <c r="H159" s="3"/>
      <c r="I159" s="3" t="s">
        <v>1302</v>
      </c>
      <c r="J159" s="3" t="s">
        <v>1302</v>
      </c>
      <c r="K159" s="6">
        <v>-2257.5700000000002</v>
      </c>
      <c r="L159" s="6">
        <v>-2257.5700000000002</v>
      </c>
      <c r="M159" s="3" t="s">
        <v>1327</v>
      </c>
      <c r="N159" s="18" t="s">
        <v>933</v>
      </c>
      <c r="O159" s="5" t="s">
        <v>221</v>
      </c>
      <c r="P159" s="5" t="s">
        <v>177</v>
      </c>
      <c r="Q159" s="5" t="s">
        <v>1328</v>
      </c>
      <c r="R159" s="5" t="s">
        <v>221</v>
      </c>
    </row>
    <row r="160" spans="1:18" ht="13.05" customHeight="1" x14ac:dyDescent="0.3">
      <c r="A160" s="3" t="s">
        <v>10</v>
      </c>
      <c r="B160" s="3" t="s">
        <v>11</v>
      </c>
      <c r="C160" s="4" t="s">
        <v>12</v>
      </c>
      <c r="D160" s="3" t="s">
        <v>929</v>
      </c>
      <c r="E160" s="4" t="s">
        <v>12</v>
      </c>
      <c r="F160" s="3" t="s">
        <v>183</v>
      </c>
      <c r="G160" s="3" t="s">
        <v>974</v>
      </c>
      <c r="H160" s="3"/>
      <c r="I160" s="3" t="s">
        <v>1302</v>
      </c>
      <c r="J160" s="3" t="s">
        <v>1302</v>
      </c>
      <c r="K160" s="6">
        <v>-371.92</v>
      </c>
      <c r="L160" s="6">
        <v>-371.92</v>
      </c>
      <c r="M160" s="3" t="s">
        <v>1329</v>
      </c>
      <c r="N160" s="18" t="s">
        <v>933</v>
      </c>
      <c r="O160" s="5" t="s">
        <v>221</v>
      </c>
      <c r="P160" s="5" t="s">
        <v>184</v>
      </c>
      <c r="Q160" s="5" t="s">
        <v>1330</v>
      </c>
      <c r="R160" s="5" t="s">
        <v>221</v>
      </c>
    </row>
    <row r="161" spans="1:18" ht="13.05" customHeight="1" x14ac:dyDescent="0.3">
      <c r="A161" s="3" t="s">
        <v>10</v>
      </c>
      <c r="B161" s="3" t="s">
        <v>11</v>
      </c>
      <c r="C161" s="4" t="s">
        <v>12</v>
      </c>
      <c r="D161" s="3" t="s">
        <v>929</v>
      </c>
      <c r="E161" s="4" t="s">
        <v>12</v>
      </c>
      <c r="F161" s="3" t="s">
        <v>185</v>
      </c>
      <c r="G161" s="3" t="s">
        <v>977</v>
      </c>
      <c r="H161" s="3"/>
      <c r="I161" s="3" t="s">
        <v>1302</v>
      </c>
      <c r="J161" s="3" t="s">
        <v>1302</v>
      </c>
      <c r="K161" s="6">
        <v>-217.68</v>
      </c>
      <c r="L161" s="6">
        <v>-217.68</v>
      </c>
      <c r="M161" s="3" t="s">
        <v>1331</v>
      </c>
      <c r="N161" s="18" t="s">
        <v>933</v>
      </c>
      <c r="O161" s="5" t="s">
        <v>221</v>
      </c>
      <c r="P161" s="5" t="s">
        <v>186</v>
      </c>
      <c r="Q161" s="5" t="s">
        <v>1332</v>
      </c>
      <c r="R161" s="5" t="s">
        <v>221</v>
      </c>
    </row>
    <row r="162" spans="1:18" ht="13.05" customHeight="1" x14ac:dyDescent="0.3">
      <c r="A162" s="3" t="s">
        <v>10</v>
      </c>
      <c r="B162" s="3" t="s">
        <v>11</v>
      </c>
      <c r="C162" s="4" t="s">
        <v>12</v>
      </c>
      <c r="D162" s="3" t="s">
        <v>929</v>
      </c>
      <c r="E162" s="4" t="s">
        <v>12</v>
      </c>
      <c r="F162" s="3" t="s">
        <v>197</v>
      </c>
      <c r="G162" s="3" t="s">
        <v>986</v>
      </c>
      <c r="H162" s="3"/>
      <c r="I162" s="3" t="s">
        <v>1302</v>
      </c>
      <c r="J162" s="3" t="s">
        <v>1302</v>
      </c>
      <c r="K162" s="6">
        <v>-87.67</v>
      </c>
      <c r="L162" s="6">
        <v>-87.67</v>
      </c>
      <c r="M162" s="3" t="s">
        <v>1333</v>
      </c>
      <c r="N162" s="18" t="s">
        <v>933</v>
      </c>
      <c r="O162" s="5" t="s">
        <v>221</v>
      </c>
      <c r="P162" s="5" t="s">
        <v>198</v>
      </c>
      <c r="Q162" s="5" t="s">
        <v>1334</v>
      </c>
      <c r="R162" s="5" t="s">
        <v>221</v>
      </c>
    </row>
    <row r="163" spans="1:18" ht="13.05" customHeight="1" x14ac:dyDescent="0.3">
      <c r="A163" s="3" t="s">
        <v>10</v>
      </c>
      <c r="B163" s="3" t="s">
        <v>11</v>
      </c>
      <c r="C163" s="4" t="s">
        <v>12</v>
      </c>
      <c r="D163" s="3" t="s">
        <v>929</v>
      </c>
      <c r="E163" s="4" t="s">
        <v>12</v>
      </c>
      <c r="F163" s="3" t="s">
        <v>107</v>
      </c>
      <c r="G163" s="3" t="s">
        <v>1335</v>
      </c>
      <c r="H163" s="3"/>
      <c r="I163" s="3" t="s">
        <v>1336</v>
      </c>
      <c r="J163" s="3" t="s">
        <v>1336</v>
      </c>
      <c r="K163" s="6">
        <v>-39931.03</v>
      </c>
      <c r="L163" s="6">
        <v>-39931.03</v>
      </c>
      <c r="M163" s="3" t="s">
        <v>1337</v>
      </c>
      <c r="N163" s="18" t="s">
        <v>933</v>
      </c>
      <c r="O163" s="5" t="s">
        <v>221</v>
      </c>
      <c r="P163" s="5" t="s">
        <v>109</v>
      </c>
      <c r="Q163" s="5" t="s">
        <v>774</v>
      </c>
      <c r="R163" s="5" t="s">
        <v>221</v>
      </c>
    </row>
    <row r="164" spans="1:18" ht="13.05" customHeight="1" x14ac:dyDescent="0.3">
      <c r="A164" s="3" t="s">
        <v>10</v>
      </c>
      <c r="B164" s="3" t="s">
        <v>11</v>
      </c>
      <c r="C164" s="4" t="s">
        <v>12</v>
      </c>
      <c r="D164" s="3" t="s">
        <v>929</v>
      </c>
      <c r="E164" s="4" t="s">
        <v>12</v>
      </c>
      <c r="F164" s="3" t="s">
        <v>112</v>
      </c>
      <c r="G164" s="3" t="s">
        <v>935</v>
      </c>
      <c r="H164" s="3"/>
      <c r="I164" s="3" t="s">
        <v>1336</v>
      </c>
      <c r="J164" s="3" t="s">
        <v>1336</v>
      </c>
      <c r="K164" s="6">
        <v>-228.69</v>
      </c>
      <c r="L164" s="6">
        <v>-228.69</v>
      </c>
      <c r="M164" s="3" t="s">
        <v>1338</v>
      </c>
      <c r="N164" s="18" t="s">
        <v>933</v>
      </c>
      <c r="O164" s="5" t="s">
        <v>221</v>
      </c>
      <c r="P164" s="5" t="s">
        <v>113</v>
      </c>
      <c r="Q164" s="5" t="s">
        <v>461</v>
      </c>
      <c r="R164" s="5" t="s">
        <v>221</v>
      </c>
    </row>
    <row r="165" spans="1:18" ht="13.05" customHeight="1" x14ac:dyDescent="0.3">
      <c r="A165" s="3" t="s">
        <v>10</v>
      </c>
      <c r="B165" s="3" t="s">
        <v>11</v>
      </c>
      <c r="C165" s="4" t="s">
        <v>12</v>
      </c>
      <c r="D165" s="3" t="s">
        <v>929</v>
      </c>
      <c r="E165" s="4" t="s">
        <v>12</v>
      </c>
      <c r="F165" s="3" t="s">
        <v>114</v>
      </c>
      <c r="G165" s="3" t="s">
        <v>938</v>
      </c>
      <c r="H165" s="3"/>
      <c r="I165" s="3" t="s">
        <v>1336</v>
      </c>
      <c r="J165" s="3" t="s">
        <v>1336</v>
      </c>
      <c r="K165" s="6">
        <v>-304.92</v>
      </c>
      <c r="L165" s="6">
        <v>-304.92</v>
      </c>
      <c r="M165" s="3" t="s">
        <v>1339</v>
      </c>
      <c r="N165" s="18" t="s">
        <v>933</v>
      </c>
      <c r="O165" s="5" t="s">
        <v>221</v>
      </c>
      <c r="P165" s="5" t="s">
        <v>115</v>
      </c>
      <c r="Q165" s="5" t="s">
        <v>1340</v>
      </c>
      <c r="R165" s="5" t="s">
        <v>221</v>
      </c>
    </row>
    <row r="166" spans="1:18" ht="13.05" customHeight="1" x14ac:dyDescent="0.3">
      <c r="A166" s="3" t="s">
        <v>10</v>
      </c>
      <c r="B166" s="3" t="s">
        <v>11</v>
      </c>
      <c r="C166" s="4" t="s">
        <v>12</v>
      </c>
      <c r="D166" s="3" t="s">
        <v>929</v>
      </c>
      <c r="E166" s="4" t="s">
        <v>12</v>
      </c>
      <c r="F166" s="3" t="s">
        <v>118</v>
      </c>
      <c r="G166" s="3" t="s">
        <v>1341</v>
      </c>
      <c r="H166" s="3"/>
      <c r="I166" s="3" t="s">
        <v>1336</v>
      </c>
      <c r="J166" s="3" t="s">
        <v>1336</v>
      </c>
      <c r="K166" s="6">
        <v>-570.44000000000005</v>
      </c>
      <c r="L166" s="6">
        <v>-570.44000000000005</v>
      </c>
      <c r="M166" s="3" t="s">
        <v>1342</v>
      </c>
      <c r="N166" s="18" t="s">
        <v>933</v>
      </c>
      <c r="O166" s="5" t="s">
        <v>221</v>
      </c>
      <c r="P166" s="5" t="s">
        <v>119</v>
      </c>
      <c r="Q166" s="5" t="s">
        <v>738</v>
      </c>
      <c r="R166" s="5" t="s">
        <v>221</v>
      </c>
    </row>
    <row r="167" spans="1:18" ht="13.05" customHeight="1" x14ac:dyDescent="0.3">
      <c r="A167" s="3" t="s">
        <v>10</v>
      </c>
      <c r="B167" s="3" t="s">
        <v>11</v>
      </c>
      <c r="C167" s="4" t="s">
        <v>12</v>
      </c>
      <c r="D167" s="3" t="s">
        <v>929</v>
      </c>
      <c r="E167" s="4" t="s">
        <v>12</v>
      </c>
      <c r="F167" s="3" t="s">
        <v>124</v>
      </c>
      <c r="G167" s="3" t="s">
        <v>944</v>
      </c>
      <c r="H167" s="3"/>
      <c r="I167" s="3" t="s">
        <v>1336</v>
      </c>
      <c r="J167" s="3" t="s">
        <v>1336</v>
      </c>
      <c r="K167" s="6">
        <v>-1705.08</v>
      </c>
      <c r="L167" s="6">
        <v>-1705.08</v>
      </c>
      <c r="M167" s="3" t="s">
        <v>1343</v>
      </c>
      <c r="N167" s="18" t="s">
        <v>933</v>
      </c>
      <c r="O167" s="5" t="s">
        <v>221</v>
      </c>
      <c r="P167" s="5" t="s">
        <v>125</v>
      </c>
      <c r="Q167" s="5" t="s">
        <v>500</v>
      </c>
      <c r="R167" s="5" t="s">
        <v>221</v>
      </c>
    </row>
    <row r="168" spans="1:18" ht="13.05" customHeight="1" x14ac:dyDescent="0.3">
      <c r="A168" s="3" t="s">
        <v>10</v>
      </c>
      <c r="B168" s="3" t="s">
        <v>11</v>
      </c>
      <c r="C168" s="4" t="s">
        <v>12</v>
      </c>
      <c r="D168" s="3" t="s">
        <v>929</v>
      </c>
      <c r="E168" s="4" t="s">
        <v>12</v>
      </c>
      <c r="F168" s="3" t="s">
        <v>126</v>
      </c>
      <c r="G168" s="3" t="s">
        <v>947</v>
      </c>
      <c r="H168" s="3"/>
      <c r="I168" s="3" t="s">
        <v>1336</v>
      </c>
      <c r="J168" s="3" t="s">
        <v>1336</v>
      </c>
      <c r="K168" s="6">
        <v>-2964.48</v>
      </c>
      <c r="L168" s="6">
        <v>-2964.48</v>
      </c>
      <c r="M168" s="3" t="s">
        <v>1344</v>
      </c>
      <c r="N168" s="18" t="s">
        <v>933</v>
      </c>
      <c r="O168" s="5" t="s">
        <v>221</v>
      </c>
      <c r="P168" s="5" t="s">
        <v>127</v>
      </c>
      <c r="Q168" s="5" t="s">
        <v>722</v>
      </c>
      <c r="R168" s="5" t="s">
        <v>221</v>
      </c>
    </row>
    <row r="169" spans="1:18" ht="13.05" customHeight="1" x14ac:dyDescent="0.3">
      <c r="A169" s="3" t="s">
        <v>10</v>
      </c>
      <c r="B169" s="3" t="s">
        <v>11</v>
      </c>
      <c r="C169" s="4" t="s">
        <v>12</v>
      </c>
      <c r="D169" s="3" t="s">
        <v>929</v>
      </c>
      <c r="E169" s="4" t="s">
        <v>12</v>
      </c>
      <c r="F169" s="3" t="s">
        <v>140</v>
      </c>
      <c r="G169" s="3" t="s">
        <v>1004</v>
      </c>
      <c r="H169" s="3"/>
      <c r="I169" s="3" t="s">
        <v>1336</v>
      </c>
      <c r="J169" s="3" t="s">
        <v>1336</v>
      </c>
      <c r="K169" s="6">
        <v>-63.52</v>
      </c>
      <c r="L169" s="6">
        <v>-63.52</v>
      </c>
      <c r="M169" s="3" t="s">
        <v>1345</v>
      </c>
      <c r="N169" s="18" t="s">
        <v>933</v>
      </c>
      <c r="O169" s="5" t="s">
        <v>221</v>
      </c>
      <c r="P169" s="5" t="s">
        <v>141</v>
      </c>
      <c r="Q169" s="5" t="s">
        <v>770</v>
      </c>
      <c r="R169" s="5" t="s">
        <v>221</v>
      </c>
    </row>
    <row r="170" spans="1:18" ht="13.05" customHeight="1" x14ac:dyDescent="0.3">
      <c r="A170" s="3" t="s">
        <v>10</v>
      </c>
      <c r="B170" s="3" t="s">
        <v>11</v>
      </c>
      <c r="C170" s="4" t="s">
        <v>12</v>
      </c>
      <c r="D170" s="3" t="s">
        <v>929</v>
      </c>
      <c r="E170" s="4" t="s">
        <v>12</v>
      </c>
      <c r="F170" s="3" t="s">
        <v>144</v>
      </c>
      <c r="G170" s="3" t="s">
        <v>1346</v>
      </c>
      <c r="H170" s="3"/>
      <c r="I170" s="3" t="s">
        <v>1336</v>
      </c>
      <c r="J170" s="3" t="s">
        <v>1336</v>
      </c>
      <c r="K170" s="6">
        <v>-4278.32</v>
      </c>
      <c r="L170" s="6">
        <v>-4278.32</v>
      </c>
      <c r="M170" s="3" t="s">
        <v>1347</v>
      </c>
      <c r="N170" s="18" t="s">
        <v>933</v>
      </c>
      <c r="O170" s="5" t="s">
        <v>221</v>
      </c>
      <c r="P170" s="5" t="s">
        <v>145</v>
      </c>
      <c r="Q170" s="5" t="s">
        <v>766</v>
      </c>
      <c r="R170" s="5" t="s">
        <v>221</v>
      </c>
    </row>
    <row r="171" spans="1:18" ht="13.05" customHeight="1" x14ac:dyDescent="0.3">
      <c r="A171" s="3" t="s">
        <v>10</v>
      </c>
      <c r="B171" s="3" t="s">
        <v>11</v>
      </c>
      <c r="C171" s="4" t="s">
        <v>12</v>
      </c>
      <c r="D171" s="3" t="s">
        <v>929</v>
      </c>
      <c r="E171" s="4" t="s">
        <v>12</v>
      </c>
      <c r="F171" s="3" t="s">
        <v>148</v>
      </c>
      <c r="G171" s="3" t="s">
        <v>959</v>
      </c>
      <c r="H171" s="3"/>
      <c r="I171" s="3" t="s">
        <v>1336</v>
      </c>
      <c r="J171" s="3" t="s">
        <v>1336</v>
      </c>
      <c r="K171" s="6">
        <v>-53.15</v>
      </c>
      <c r="L171" s="6">
        <v>-53.15</v>
      </c>
      <c r="M171" s="3" t="s">
        <v>1348</v>
      </c>
      <c r="N171" s="18" t="s">
        <v>933</v>
      </c>
      <c r="O171" s="5" t="s">
        <v>221</v>
      </c>
      <c r="P171" s="5" t="s">
        <v>149</v>
      </c>
      <c r="Q171" s="5" t="s">
        <v>718</v>
      </c>
      <c r="R171" s="5" t="s">
        <v>221</v>
      </c>
    </row>
    <row r="172" spans="1:18" ht="13.05" customHeight="1" x14ac:dyDescent="0.3">
      <c r="A172" s="3" t="s">
        <v>10</v>
      </c>
      <c r="B172" s="3" t="s">
        <v>11</v>
      </c>
      <c r="C172" s="4" t="s">
        <v>12</v>
      </c>
      <c r="D172" s="3" t="s">
        <v>929</v>
      </c>
      <c r="E172" s="4" t="s">
        <v>12</v>
      </c>
      <c r="F172" s="3" t="s">
        <v>150</v>
      </c>
      <c r="G172" s="3" t="s">
        <v>1014</v>
      </c>
      <c r="H172" s="3"/>
      <c r="I172" s="3" t="s">
        <v>1336</v>
      </c>
      <c r="J172" s="3" t="s">
        <v>1336</v>
      </c>
      <c r="K172" s="6">
        <v>-931.69</v>
      </c>
      <c r="L172" s="6">
        <v>-931.69</v>
      </c>
      <c r="M172" s="3" t="s">
        <v>1349</v>
      </c>
      <c r="N172" s="18" t="s">
        <v>933</v>
      </c>
      <c r="O172" s="5" t="s">
        <v>221</v>
      </c>
      <c r="P172" s="5" t="s">
        <v>151</v>
      </c>
      <c r="Q172" s="5" t="s">
        <v>754</v>
      </c>
      <c r="R172" s="5" t="s">
        <v>221</v>
      </c>
    </row>
    <row r="173" spans="1:18" ht="13.05" customHeight="1" x14ac:dyDescent="0.3">
      <c r="A173" s="3" t="s">
        <v>10</v>
      </c>
      <c r="B173" s="3" t="s">
        <v>11</v>
      </c>
      <c r="C173" s="4" t="s">
        <v>12</v>
      </c>
      <c r="D173" s="3" t="s">
        <v>929</v>
      </c>
      <c r="E173" s="4" t="s">
        <v>12</v>
      </c>
      <c r="F173" s="3" t="s">
        <v>154</v>
      </c>
      <c r="G173" s="3" t="s">
        <v>962</v>
      </c>
      <c r="H173" s="3"/>
      <c r="I173" s="3" t="s">
        <v>1336</v>
      </c>
      <c r="J173" s="3" t="s">
        <v>1336</v>
      </c>
      <c r="K173" s="6">
        <v>-850.11</v>
      </c>
      <c r="L173" s="6">
        <v>-850.11</v>
      </c>
      <c r="M173" s="3" t="s">
        <v>1350</v>
      </c>
      <c r="N173" s="18" t="s">
        <v>933</v>
      </c>
      <c r="O173" s="5" t="s">
        <v>221</v>
      </c>
      <c r="P173" s="5" t="s">
        <v>155</v>
      </c>
      <c r="Q173" s="5" t="s">
        <v>750</v>
      </c>
      <c r="R173" s="5" t="s">
        <v>221</v>
      </c>
    </row>
    <row r="174" spans="1:18" ht="13.05" customHeight="1" x14ac:dyDescent="0.3">
      <c r="A174" s="3" t="s">
        <v>10</v>
      </c>
      <c r="B174" s="3" t="s">
        <v>11</v>
      </c>
      <c r="C174" s="4" t="s">
        <v>12</v>
      </c>
      <c r="D174" s="3" t="s">
        <v>929</v>
      </c>
      <c r="E174" s="4" t="s">
        <v>12</v>
      </c>
      <c r="F174" s="3" t="s">
        <v>174</v>
      </c>
      <c r="G174" s="3" t="s">
        <v>968</v>
      </c>
      <c r="H174" s="3"/>
      <c r="I174" s="3" t="s">
        <v>1336</v>
      </c>
      <c r="J174" s="3" t="s">
        <v>1336</v>
      </c>
      <c r="K174" s="6">
        <v>-559.02</v>
      </c>
      <c r="L174" s="6">
        <v>-559.02</v>
      </c>
      <c r="M174" s="3" t="s">
        <v>1351</v>
      </c>
      <c r="N174" s="18" t="s">
        <v>933</v>
      </c>
      <c r="O174" s="5" t="s">
        <v>221</v>
      </c>
      <c r="P174" s="5" t="s">
        <v>175</v>
      </c>
      <c r="Q174" s="5" t="s">
        <v>1352</v>
      </c>
      <c r="R174" s="5" t="s">
        <v>221</v>
      </c>
    </row>
    <row r="175" spans="1:18" ht="13.05" customHeight="1" x14ac:dyDescent="0.3">
      <c r="A175" s="3" t="s">
        <v>10</v>
      </c>
      <c r="B175" s="3" t="s">
        <v>11</v>
      </c>
      <c r="C175" s="4" t="s">
        <v>12</v>
      </c>
      <c r="D175" s="3" t="s">
        <v>929</v>
      </c>
      <c r="E175" s="4" t="s">
        <v>12</v>
      </c>
      <c r="F175" s="3" t="s">
        <v>174</v>
      </c>
      <c r="G175" s="3" t="s">
        <v>965</v>
      </c>
      <c r="H175" s="3"/>
      <c r="I175" s="3" t="s">
        <v>1336</v>
      </c>
      <c r="J175" s="3" t="s">
        <v>1336</v>
      </c>
      <c r="K175" s="6">
        <v>-577.95000000000005</v>
      </c>
      <c r="L175" s="6">
        <v>-577.95000000000005</v>
      </c>
      <c r="M175" s="3" t="s">
        <v>1353</v>
      </c>
      <c r="N175" s="18" t="s">
        <v>933</v>
      </c>
      <c r="O175" s="5" t="s">
        <v>221</v>
      </c>
      <c r="P175" s="5" t="s">
        <v>175</v>
      </c>
      <c r="Q175" s="5" t="s">
        <v>778</v>
      </c>
      <c r="R175" s="5" t="s">
        <v>221</v>
      </c>
    </row>
    <row r="176" spans="1:18" ht="13.05" customHeight="1" x14ac:dyDescent="0.3">
      <c r="A176" s="3" t="s">
        <v>10</v>
      </c>
      <c r="B176" s="3" t="s">
        <v>11</v>
      </c>
      <c r="C176" s="4" t="s">
        <v>12</v>
      </c>
      <c r="D176" s="3" t="s">
        <v>929</v>
      </c>
      <c r="E176" s="4" t="s">
        <v>12</v>
      </c>
      <c r="F176" s="3" t="s">
        <v>176</v>
      </c>
      <c r="G176" s="3" t="s">
        <v>971</v>
      </c>
      <c r="H176" s="3"/>
      <c r="I176" s="3" t="s">
        <v>1336</v>
      </c>
      <c r="J176" s="3" t="s">
        <v>1336</v>
      </c>
      <c r="K176" s="6">
        <v>-2257.5700000000002</v>
      </c>
      <c r="L176" s="6">
        <v>-2257.5700000000002</v>
      </c>
      <c r="M176" s="3" t="s">
        <v>1354</v>
      </c>
      <c r="N176" s="18" t="s">
        <v>933</v>
      </c>
      <c r="O176" s="5" t="s">
        <v>221</v>
      </c>
      <c r="P176" s="5" t="s">
        <v>177</v>
      </c>
      <c r="Q176" s="5" t="s">
        <v>1355</v>
      </c>
      <c r="R176" s="5" t="s">
        <v>221</v>
      </c>
    </row>
    <row r="177" spans="1:18" ht="13.05" customHeight="1" x14ac:dyDescent="0.3">
      <c r="A177" s="3" t="s">
        <v>10</v>
      </c>
      <c r="B177" s="3" t="s">
        <v>11</v>
      </c>
      <c r="C177" s="4" t="s">
        <v>12</v>
      </c>
      <c r="D177" s="3" t="s">
        <v>929</v>
      </c>
      <c r="E177" s="4" t="s">
        <v>12</v>
      </c>
      <c r="F177" s="3" t="s">
        <v>183</v>
      </c>
      <c r="G177" s="3" t="s">
        <v>974</v>
      </c>
      <c r="H177" s="3"/>
      <c r="I177" s="3" t="s">
        <v>1336</v>
      </c>
      <c r="J177" s="3" t="s">
        <v>1336</v>
      </c>
      <c r="K177" s="6">
        <v>-371.92</v>
      </c>
      <c r="L177" s="6">
        <v>-371.92</v>
      </c>
      <c r="M177" s="3" t="s">
        <v>1356</v>
      </c>
      <c r="N177" s="18" t="s">
        <v>933</v>
      </c>
      <c r="O177" s="5" t="s">
        <v>221</v>
      </c>
      <c r="P177" s="5" t="s">
        <v>184</v>
      </c>
      <c r="Q177" s="5" t="s">
        <v>742</v>
      </c>
      <c r="R177" s="5" t="s">
        <v>221</v>
      </c>
    </row>
    <row r="178" spans="1:18" ht="13.05" customHeight="1" x14ac:dyDescent="0.3">
      <c r="A178" s="3" t="s">
        <v>10</v>
      </c>
      <c r="B178" s="3" t="s">
        <v>11</v>
      </c>
      <c r="C178" s="4" t="s">
        <v>12</v>
      </c>
      <c r="D178" s="3" t="s">
        <v>929</v>
      </c>
      <c r="E178" s="4" t="s">
        <v>12</v>
      </c>
      <c r="F178" s="3" t="s">
        <v>185</v>
      </c>
      <c r="G178" s="3" t="s">
        <v>977</v>
      </c>
      <c r="H178" s="3"/>
      <c r="I178" s="3" t="s">
        <v>1336</v>
      </c>
      <c r="J178" s="3" t="s">
        <v>1336</v>
      </c>
      <c r="K178" s="6">
        <v>-217.68</v>
      </c>
      <c r="L178" s="6">
        <v>-217.68</v>
      </c>
      <c r="M178" s="3" t="s">
        <v>1357</v>
      </c>
      <c r="N178" s="18" t="s">
        <v>933</v>
      </c>
      <c r="O178" s="5" t="s">
        <v>221</v>
      </c>
      <c r="P178" s="5" t="s">
        <v>186</v>
      </c>
      <c r="Q178" s="5" t="s">
        <v>726</v>
      </c>
      <c r="R178" s="5" t="s">
        <v>221</v>
      </c>
    </row>
    <row r="179" spans="1:18" ht="13.05" customHeight="1" x14ac:dyDescent="0.3">
      <c r="A179" s="3" t="s">
        <v>10</v>
      </c>
      <c r="B179" s="3" t="s">
        <v>11</v>
      </c>
      <c r="C179" s="4" t="s">
        <v>12</v>
      </c>
      <c r="D179" s="3" t="s">
        <v>929</v>
      </c>
      <c r="E179" s="4" t="s">
        <v>12</v>
      </c>
      <c r="F179" s="3" t="s">
        <v>197</v>
      </c>
      <c r="G179" s="3" t="s">
        <v>986</v>
      </c>
      <c r="H179" s="3"/>
      <c r="I179" s="3" t="s">
        <v>1336</v>
      </c>
      <c r="J179" s="3" t="s">
        <v>1336</v>
      </c>
      <c r="K179" s="6">
        <v>-87.67</v>
      </c>
      <c r="L179" s="6">
        <v>-87.67</v>
      </c>
      <c r="M179" s="3" t="s">
        <v>1358</v>
      </c>
      <c r="N179" s="18" t="s">
        <v>933</v>
      </c>
      <c r="O179" s="5" t="s">
        <v>221</v>
      </c>
      <c r="P179" s="5" t="s">
        <v>198</v>
      </c>
      <c r="Q179" s="5" t="s">
        <v>758</v>
      </c>
      <c r="R179" s="5" t="s">
        <v>221</v>
      </c>
    </row>
    <row r="180" spans="1:18" ht="13.05" customHeight="1" x14ac:dyDescent="0.3">
      <c r="A180" s="3" t="s">
        <v>10</v>
      </c>
      <c r="B180" s="3" t="s">
        <v>11</v>
      </c>
      <c r="C180" s="4" t="s">
        <v>12</v>
      </c>
      <c r="D180" s="3" t="s">
        <v>929</v>
      </c>
      <c r="E180" s="4" t="s">
        <v>12</v>
      </c>
      <c r="F180" s="3" t="s">
        <v>107</v>
      </c>
      <c r="G180" s="3" t="s">
        <v>1359</v>
      </c>
      <c r="H180" s="3"/>
      <c r="I180" s="3" t="s">
        <v>1360</v>
      </c>
      <c r="J180" s="3" t="s">
        <v>1360</v>
      </c>
      <c r="K180" s="6">
        <v>-38786.199999999997</v>
      </c>
      <c r="L180" s="6">
        <v>-38786.199999999997</v>
      </c>
      <c r="M180" s="3" t="s">
        <v>1361</v>
      </c>
      <c r="N180" s="18" t="s">
        <v>933</v>
      </c>
      <c r="O180" s="5" t="s">
        <v>221</v>
      </c>
      <c r="P180" s="5" t="s">
        <v>109</v>
      </c>
      <c r="Q180" s="5" t="s">
        <v>515</v>
      </c>
      <c r="R180" s="5" t="s">
        <v>221</v>
      </c>
    </row>
    <row r="181" spans="1:18" ht="13.05" customHeight="1" x14ac:dyDescent="0.3">
      <c r="A181" s="3" t="s">
        <v>10</v>
      </c>
      <c r="B181" s="3" t="s">
        <v>11</v>
      </c>
      <c r="C181" s="4" t="s">
        <v>12</v>
      </c>
      <c r="D181" s="3" t="s">
        <v>929</v>
      </c>
      <c r="E181" s="4" t="s">
        <v>12</v>
      </c>
      <c r="F181" s="3" t="s">
        <v>112</v>
      </c>
      <c r="G181" s="3" t="s">
        <v>1144</v>
      </c>
      <c r="H181" s="3"/>
      <c r="I181" s="3" t="s">
        <v>1360</v>
      </c>
      <c r="J181" s="3" t="s">
        <v>1360</v>
      </c>
      <c r="K181" s="6">
        <v>-221.31</v>
      </c>
      <c r="L181" s="6">
        <v>-221.31</v>
      </c>
      <c r="M181" s="3" t="s">
        <v>1362</v>
      </c>
      <c r="N181" s="18" t="s">
        <v>933</v>
      </c>
      <c r="O181" s="5" t="s">
        <v>221</v>
      </c>
      <c r="P181" s="5" t="s">
        <v>113</v>
      </c>
      <c r="Q181" s="5" t="s">
        <v>810</v>
      </c>
      <c r="R181" s="5" t="s">
        <v>221</v>
      </c>
    </row>
    <row r="182" spans="1:18" ht="13.05" customHeight="1" x14ac:dyDescent="0.3">
      <c r="A182" s="3" t="s">
        <v>10</v>
      </c>
      <c r="B182" s="3" t="s">
        <v>11</v>
      </c>
      <c r="C182" s="4" t="s">
        <v>12</v>
      </c>
      <c r="D182" s="3" t="s">
        <v>929</v>
      </c>
      <c r="E182" s="4" t="s">
        <v>12</v>
      </c>
      <c r="F182" s="3" t="s">
        <v>114</v>
      </c>
      <c r="G182" s="3" t="s">
        <v>1147</v>
      </c>
      <c r="H182" s="3"/>
      <c r="I182" s="3" t="s">
        <v>1360</v>
      </c>
      <c r="J182" s="3" t="s">
        <v>1360</v>
      </c>
      <c r="K182" s="6">
        <v>-295.08</v>
      </c>
      <c r="L182" s="6">
        <v>-295.08</v>
      </c>
      <c r="M182" s="3" t="s">
        <v>1363</v>
      </c>
      <c r="N182" s="18" t="s">
        <v>933</v>
      </c>
      <c r="O182" s="5" t="s">
        <v>221</v>
      </c>
      <c r="P182" s="5" t="s">
        <v>115</v>
      </c>
      <c r="Q182" s="5" t="s">
        <v>494</v>
      </c>
      <c r="R182" s="5" t="s">
        <v>221</v>
      </c>
    </row>
    <row r="183" spans="1:18" ht="13.05" customHeight="1" x14ac:dyDescent="0.3">
      <c r="A183" s="3" t="s">
        <v>10</v>
      </c>
      <c r="B183" s="3" t="s">
        <v>11</v>
      </c>
      <c r="C183" s="4" t="s">
        <v>12</v>
      </c>
      <c r="D183" s="3" t="s">
        <v>929</v>
      </c>
      <c r="E183" s="4" t="s">
        <v>12</v>
      </c>
      <c r="F183" s="3" t="s">
        <v>118</v>
      </c>
      <c r="G183" s="3" t="s">
        <v>1364</v>
      </c>
      <c r="H183" s="3"/>
      <c r="I183" s="3" t="s">
        <v>1360</v>
      </c>
      <c r="J183" s="3" t="s">
        <v>1360</v>
      </c>
      <c r="K183" s="6">
        <v>-554.09</v>
      </c>
      <c r="L183" s="6">
        <v>-554.09</v>
      </c>
      <c r="M183" s="3" t="s">
        <v>1365</v>
      </c>
      <c r="N183" s="18" t="s">
        <v>933</v>
      </c>
      <c r="O183" s="5" t="s">
        <v>221</v>
      </c>
      <c r="P183" s="5" t="s">
        <v>119</v>
      </c>
      <c r="Q183" s="5" t="s">
        <v>794</v>
      </c>
      <c r="R183" s="5" t="s">
        <v>221</v>
      </c>
    </row>
    <row r="184" spans="1:18" ht="13.05" customHeight="1" x14ac:dyDescent="0.3">
      <c r="A184" s="3" t="s">
        <v>10</v>
      </c>
      <c r="B184" s="3" t="s">
        <v>11</v>
      </c>
      <c r="C184" s="4" t="s">
        <v>12</v>
      </c>
      <c r="D184" s="3" t="s">
        <v>929</v>
      </c>
      <c r="E184" s="4" t="s">
        <v>12</v>
      </c>
      <c r="F184" s="3" t="s">
        <v>124</v>
      </c>
      <c r="G184" s="3" t="s">
        <v>1153</v>
      </c>
      <c r="H184" s="3"/>
      <c r="I184" s="3" t="s">
        <v>1360</v>
      </c>
      <c r="J184" s="3" t="s">
        <v>1360</v>
      </c>
      <c r="K184" s="6">
        <v>-1650.08</v>
      </c>
      <c r="L184" s="6">
        <v>-1650.08</v>
      </c>
      <c r="M184" s="3" t="s">
        <v>1366</v>
      </c>
      <c r="N184" s="18" t="s">
        <v>933</v>
      </c>
      <c r="O184" s="5" t="s">
        <v>221</v>
      </c>
      <c r="P184" s="5" t="s">
        <v>125</v>
      </c>
      <c r="Q184" s="5" t="s">
        <v>1367</v>
      </c>
      <c r="R184" s="5" t="s">
        <v>221</v>
      </c>
    </row>
    <row r="185" spans="1:18" ht="13.05" customHeight="1" x14ac:dyDescent="0.3">
      <c r="A185" s="3" t="s">
        <v>10</v>
      </c>
      <c r="B185" s="3" t="s">
        <v>11</v>
      </c>
      <c r="C185" s="4" t="s">
        <v>12</v>
      </c>
      <c r="D185" s="3" t="s">
        <v>929</v>
      </c>
      <c r="E185" s="4" t="s">
        <v>12</v>
      </c>
      <c r="F185" s="3" t="s">
        <v>126</v>
      </c>
      <c r="G185" s="3" t="s">
        <v>1156</v>
      </c>
      <c r="H185" s="3"/>
      <c r="I185" s="3" t="s">
        <v>1360</v>
      </c>
      <c r="J185" s="3" t="s">
        <v>1360</v>
      </c>
      <c r="K185" s="6">
        <v>-2868.85</v>
      </c>
      <c r="L185" s="6">
        <v>-2868.85</v>
      </c>
      <c r="M185" s="3" t="s">
        <v>1368</v>
      </c>
      <c r="N185" s="18" t="s">
        <v>933</v>
      </c>
      <c r="O185" s="5" t="s">
        <v>221</v>
      </c>
      <c r="P185" s="5" t="s">
        <v>127</v>
      </c>
      <c r="Q185" s="5" t="s">
        <v>473</v>
      </c>
      <c r="R185" s="5" t="s">
        <v>221</v>
      </c>
    </row>
    <row r="186" spans="1:18" ht="13.05" customHeight="1" x14ac:dyDescent="0.3">
      <c r="A186" s="3" t="s">
        <v>10</v>
      </c>
      <c r="B186" s="3" t="s">
        <v>11</v>
      </c>
      <c r="C186" s="4" t="s">
        <v>12</v>
      </c>
      <c r="D186" s="3" t="s">
        <v>929</v>
      </c>
      <c r="E186" s="4" t="s">
        <v>12</v>
      </c>
      <c r="F186" s="3" t="s">
        <v>140</v>
      </c>
      <c r="G186" s="3" t="s">
        <v>1162</v>
      </c>
      <c r="H186" s="3"/>
      <c r="I186" s="3" t="s">
        <v>1360</v>
      </c>
      <c r="J186" s="3" t="s">
        <v>1360</v>
      </c>
      <c r="K186" s="6">
        <v>-61.48</v>
      </c>
      <c r="L186" s="6">
        <v>-61.48</v>
      </c>
      <c r="M186" s="3" t="s">
        <v>1369</v>
      </c>
      <c r="N186" s="18" t="s">
        <v>933</v>
      </c>
      <c r="O186" s="5" t="s">
        <v>221</v>
      </c>
      <c r="P186" s="5" t="s">
        <v>141</v>
      </c>
      <c r="Q186" s="5" t="s">
        <v>806</v>
      </c>
      <c r="R186" s="5" t="s">
        <v>221</v>
      </c>
    </row>
    <row r="187" spans="1:18" ht="13.05" customHeight="1" x14ac:dyDescent="0.3">
      <c r="A187" s="3" t="s">
        <v>10</v>
      </c>
      <c r="B187" s="3" t="s">
        <v>11</v>
      </c>
      <c r="C187" s="4" t="s">
        <v>12</v>
      </c>
      <c r="D187" s="3" t="s">
        <v>929</v>
      </c>
      <c r="E187" s="4" t="s">
        <v>12</v>
      </c>
      <c r="F187" s="3" t="s">
        <v>144</v>
      </c>
      <c r="G187" s="3" t="s">
        <v>1370</v>
      </c>
      <c r="H187" s="3"/>
      <c r="I187" s="3" t="s">
        <v>1360</v>
      </c>
      <c r="J187" s="3" t="s">
        <v>1360</v>
      </c>
      <c r="K187" s="6">
        <v>-4155.66</v>
      </c>
      <c r="L187" s="6">
        <v>-4155.66</v>
      </c>
      <c r="M187" s="3" t="s">
        <v>1371</v>
      </c>
      <c r="N187" s="18" t="s">
        <v>933</v>
      </c>
      <c r="O187" s="5" t="s">
        <v>221</v>
      </c>
      <c r="P187" s="5" t="s">
        <v>145</v>
      </c>
      <c r="Q187" s="5" t="s">
        <v>488</v>
      </c>
      <c r="R187" s="5" t="s">
        <v>221</v>
      </c>
    </row>
    <row r="188" spans="1:18" ht="13.05" customHeight="1" x14ac:dyDescent="0.3">
      <c r="A188" s="3" t="s">
        <v>10</v>
      </c>
      <c r="B188" s="3" t="s">
        <v>11</v>
      </c>
      <c r="C188" s="4" t="s">
        <v>12</v>
      </c>
      <c r="D188" s="3" t="s">
        <v>929</v>
      </c>
      <c r="E188" s="4" t="s">
        <v>12</v>
      </c>
      <c r="F188" s="3" t="s">
        <v>148</v>
      </c>
      <c r="G188" s="3" t="s">
        <v>1171</v>
      </c>
      <c r="H188" s="3"/>
      <c r="I188" s="3" t="s">
        <v>1360</v>
      </c>
      <c r="J188" s="3" t="s">
        <v>1360</v>
      </c>
      <c r="K188" s="6">
        <v>-51.43</v>
      </c>
      <c r="L188" s="6">
        <v>-51.43</v>
      </c>
      <c r="M188" s="3" t="s">
        <v>1372</v>
      </c>
      <c r="N188" s="18" t="s">
        <v>933</v>
      </c>
      <c r="O188" s="5" t="s">
        <v>221</v>
      </c>
      <c r="P188" s="5" t="s">
        <v>149</v>
      </c>
      <c r="Q188" s="5" t="s">
        <v>503</v>
      </c>
      <c r="R188" s="5" t="s">
        <v>221</v>
      </c>
    </row>
    <row r="189" spans="1:18" ht="13.05" customHeight="1" x14ac:dyDescent="0.3">
      <c r="A189" s="3" t="s">
        <v>10</v>
      </c>
      <c r="B189" s="3" t="s">
        <v>11</v>
      </c>
      <c r="C189" s="4" t="s">
        <v>12</v>
      </c>
      <c r="D189" s="3" t="s">
        <v>929</v>
      </c>
      <c r="E189" s="4" t="s">
        <v>12</v>
      </c>
      <c r="F189" s="3" t="s">
        <v>150</v>
      </c>
      <c r="G189" s="3" t="s">
        <v>1174</v>
      </c>
      <c r="H189" s="3"/>
      <c r="I189" s="3" t="s">
        <v>1360</v>
      </c>
      <c r="J189" s="3" t="s">
        <v>1360</v>
      </c>
      <c r="K189" s="6">
        <v>-901.64</v>
      </c>
      <c r="L189" s="6">
        <v>-901.64</v>
      </c>
      <c r="M189" s="3" t="s">
        <v>1373</v>
      </c>
      <c r="N189" s="18" t="s">
        <v>933</v>
      </c>
      <c r="O189" s="5" t="s">
        <v>221</v>
      </c>
      <c r="P189" s="5" t="s">
        <v>151</v>
      </c>
      <c r="Q189" s="5" t="s">
        <v>798</v>
      </c>
      <c r="R189" s="5" t="s">
        <v>221</v>
      </c>
    </row>
    <row r="190" spans="1:18" ht="13.05" customHeight="1" x14ac:dyDescent="0.3">
      <c r="A190" s="3" t="s">
        <v>10</v>
      </c>
      <c r="B190" s="3" t="s">
        <v>11</v>
      </c>
      <c r="C190" s="4" t="s">
        <v>12</v>
      </c>
      <c r="D190" s="3" t="s">
        <v>929</v>
      </c>
      <c r="E190" s="4" t="s">
        <v>12</v>
      </c>
      <c r="F190" s="3" t="s">
        <v>154</v>
      </c>
      <c r="G190" s="3" t="s">
        <v>1177</v>
      </c>
      <c r="H190" s="3"/>
      <c r="I190" s="3" t="s">
        <v>1360</v>
      </c>
      <c r="J190" s="3" t="s">
        <v>1360</v>
      </c>
      <c r="K190" s="6">
        <v>-822.69</v>
      </c>
      <c r="L190" s="6">
        <v>-822.69</v>
      </c>
      <c r="M190" s="3" t="s">
        <v>1374</v>
      </c>
      <c r="N190" s="18" t="s">
        <v>933</v>
      </c>
      <c r="O190" s="5" t="s">
        <v>221</v>
      </c>
      <c r="P190" s="5" t="s">
        <v>155</v>
      </c>
      <c r="Q190" s="5" t="s">
        <v>476</v>
      </c>
      <c r="R190" s="5" t="s">
        <v>221</v>
      </c>
    </row>
    <row r="191" spans="1:18" ht="13.05" customHeight="1" x14ac:dyDescent="0.3">
      <c r="A191" s="3" t="s">
        <v>10</v>
      </c>
      <c r="B191" s="3" t="s">
        <v>11</v>
      </c>
      <c r="C191" s="4" t="s">
        <v>12</v>
      </c>
      <c r="D191" s="3" t="s">
        <v>929</v>
      </c>
      <c r="E191" s="4" t="s">
        <v>12</v>
      </c>
      <c r="F191" s="3" t="s">
        <v>174</v>
      </c>
      <c r="G191" s="3" t="s">
        <v>1180</v>
      </c>
      <c r="H191" s="3"/>
      <c r="I191" s="3" t="s">
        <v>1360</v>
      </c>
      <c r="J191" s="3" t="s">
        <v>1360</v>
      </c>
      <c r="K191" s="6">
        <v>-559.29999999999995</v>
      </c>
      <c r="L191" s="6">
        <v>-559.29999999999995</v>
      </c>
      <c r="M191" s="3" t="s">
        <v>1375</v>
      </c>
      <c r="N191" s="18" t="s">
        <v>933</v>
      </c>
      <c r="O191" s="5" t="s">
        <v>221</v>
      </c>
      <c r="P191" s="5" t="s">
        <v>175</v>
      </c>
      <c r="Q191" s="5" t="s">
        <v>485</v>
      </c>
      <c r="R191" s="5" t="s">
        <v>221</v>
      </c>
    </row>
    <row r="192" spans="1:18" ht="13.05" customHeight="1" x14ac:dyDescent="0.3">
      <c r="A192" s="3" t="s">
        <v>10</v>
      </c>
      <c r="B192" s="3" t="s">
        <v>11</v>
      </c>
      <c r="C192" s="4" t="s">
        <v>12</v>
      </c>
      <c r="D192" s="3" t="s">
        <v>929</v>
      </c>
      <c r="E192" s="4" t="s">
        <v>12</v>
      </c>
      <c r="F192" s="3" t="s">
        <v>174</v>
      </c>
      <c r="G192" s="3" t="s">
        <v>1183</v>
      </c>
      <c r="H192" s="3"/>
      <c r="I192" s="3" t="s">
        <v>1360</v>
      </c>
      <c r="J192" s="3" t="s">
        <v>1360</v>
      </c>
      <c r="K192" s="6">
        <v>-540.98</v>
      </c>
      <c r="L192" s="6">
        <v>-540.98</v>
      </c>
      <c r="M192" s="3" t="s">
        <v>1376</v>
      </c>
      <c r="N192" s="18" t="s">
        <v>933</v>
      </c>
      <c r="O192" s="5" t="s">
        <v>221</v>
      </c>
      <c r="P192" s="5" t="s">
        <v>175</v>
      </c>
      <c r="Q192" s="5" t="s">
        <v>814</v>
      </c>
      <c r="R192" s="5" t="s">
        <v>221</v>
      </c>
    </row>
    <row r="193" spans="1:18" ht="13.05" customHeight="1" x14ac:dyDescent="0.3">
      <c r="A193" s="3" t="s">
        <v>10</v>
      </c>
      <c r="B193" s="3" t="s">
        <v>11</v>
      </c>
      <c r="C193" s="4" t="s">
        <v>12</v>
      </c>
      <c r="D193" s="3" t="s">
        <v>929</v>
      </c>
      <c r="E193" s="4" t="s">
        <v>12</v>
      </c>
      <c r="F193" s="3" t="s">
        <v>176</v>
      </c>
      <c r="G193" s="3" t="s">
        <v>1186</v>
      </c>
      <c r="H193" s="3"/>
      <c r="I193" s="3" t="s">
        <v>1360</v>
      </c>
      <c r="J193" s="3" t="s">
        <v>1360</v>
      </c>
      <c r="K193" s="6">
        <v>-2184.7399999999998</v>
      </c>
      <c r="L193" s="6">
        <v>-2184.7399999999998</v>
      </c>
      <c r="M193" s="3" t="s">
        <v>1377</v>
      </c>
      <c r="N193" s="18" t="s">
        <v>933</v>
      </c>
      <c r="O193" s="5" t="s">
        <v>221</v>
      </c>
      <c r="P193" s="5" t="s">
        <v>177</v>
      </c>
      <c r="Q193" s="5" t="s">
        <v>506</v>
      </c>
      <c r="R193" s="5" t="s">
        <v>221</v>
      </c>
    </row>
    <row r="194" spans="1:18" ht="13.05" customHeight="1" x14ac:dyDescent="0.3">
      <c r="A194" s="3" t="s">
        <v>10</v>
      </c>
      <c r="B194" s="3" t="s">
        <v>11</v>
      </c>
      <c r="C194" s="4" t="s">
        <v>12</v>
      </c>
      <c r="D194" s="3" t="s">
        <v>929</v>
      </c>
      <c r="E194" s="4" t="s">
        <v>12</v>
      </c>
      <c r="F194" s="3" t="s">
        <v>183</v>
      </c>
      <c r="G194" s="3" t="s">
        <v>1189</v>
      </c>
      <c r="H194" s="3"/>
      <c r="I194" s="3" t="s">
        <v>1360</v>
      </c>
      <c r="J194" s="3" t="s">
        <v>1360</v>
      </c>
      <c r="K194" s="6">
        <v>-359.93</v>
      </c>
      <c r="L194" s="6">
        <v>-359.93</v>
      </c>
      <c r="M194" s="3" t="s">
        <v>1378</v>
      </c>
      <c r="N194" s="18" t="s">
        <v>933</v>
      </c>
      <c r="O194" s="5" t="s">
        <v>221</v>
      </c>
      <c r="P194" s="5" t="s">
        <v>184</v>
      </c>
      <c r="Q194" s="5" t="s">
        <v>497</v>
      </c>
      <c r="R194" s="5" t="s">
        <v>221</v>
      </c>
    </row>
    <row r="195" spans="1:18" ht="13.05" customHeight="1" x14ac:dyDescent="0.3">
      <c r="A195" s="3" t="s">
        <v>10</v>
      </c>
      <c r="B195" s="3" t="s">
        <v>11</v>
      </c>
      <c r="C195" s="4" t="s">
        <v>12</v>
      </c>
      <c r="D195" s="3" t="s">
        <v>929</v>
      </c>
      <c r="E195" s="4" t="s">
        <v>12</v>
      </c>
      <c r="F195" s="3" t="s">
        <v>185</v>
      </c>
      <c r="G195" s="3" t="s">
        <v>1192</v>
      </c>
      <c r="H195" s="3"/>
      <c r="I195" s="3" t="s">
        <v>1360</v>
      </c>
      <c r="J195" s="3" t="s">
        <v>1360</v>
      </c>
      <c r="K195" s="6">
        <v>-210.66</v>
      </c>
      <c r="L195" s="6">
        <v>-210.66</v>
      </c>
      <c r="M195" s="3" t="s">
        <v>1379</v>
      </c>
      <c r="N195" s="18" t="s">
        <v>933</v>
      </c>
      <c r="O195" s="5" t="s">
        <v>221</v>
      </c>
      <c r="P195" s="5" t="s">
        <v>186</v>
      </c>
      <c r="Q195" s="5" t="s">
        <v>491</v>
      </c>
      <c r="R195" s="5" t="s">
        <v>221</v>
      </c>
    </row>
    <row r="196" spans="1:18" ht="13.05" customHeight="1" x14ac:dyDescent="0.3">
      <c r="A196" s="3" t="s">
        <v>10</v>
      </c>
      <c r="B196" s="3" t="s">
        <v>11</v>
      </c>
      <c r="C196" s="4" t="s">
        <v>12</v>
      </c>
      <c r="D196" s="3" t="s">
        <v>929</v>
      </c>
      <c r="E196" s="4" t="s">
        <v>12</v>
      </c>
      <c r="F196" s="3" t="s">
        <v>197</v>
      </c>
      <c r="G196" s="3" t="s">
        <v>1201</v>
      </c>
      <c r="H196" s="3"/>
      <c r="I196" s="3" t="s">
        <v>1360</v>
      </c>
      <c r="J196" s="3" t="s">
        <v>1360</v>
      </c>
      <c r="K196" s="6">
        <v>-84.84</v>
      </c>
      <c r="L196" s="6">
        <v>-84.84</v>
      </c>
      <c r="M196" s="3" t="s">
        <v>1380</v>
      </c>
      <c r="N196" s="18" t="s">
        <v>933</v>
      </c>
      <c r="O196" s="5" t="s">
        <v>221</v>
      </c>
      <c r="P196" s="5" t="s">
        <v>198</v>
      </c>
      <c r="Q196" s="5" t="s">
        <v>802</v>
      </c>
      <c r="R196" s="5" t="s">
        <v>221</v>
      </c>
    </row>
    <row r="197" spans="1:18" ht="13.05" customHeight="1" x14ac:dyDescent="0.3">
      <c r="A197" s="3" t="s">
        <v>10</v>
      </c>
      <c r="B197" s="3" t="s">
        <v>11</v>
      </c>
      <c r="C197" s="4" t="s">
        <v>12</v>
      </c>
      <c r="D197" s="3" t="s">
        <v>929</v>
      </c>
      <c r="E197" s="4" t="s">
        <v>12</v>
      </c>
      <c r="F197" s="3" t="s">
        <v>107</v>
      </c>
      <c r="G197" s="3" t="s">
        <v>1381</v>
      </c>
      <c r="H197" s="3"/>
      <c r="I197" s="3" t="s">
        <v>1382</v>
      </c>
      <c r="J197" s="3" t="s">
        <v>1382</v>
      </c>
      <c r="K197" s="6">
        <v>-40029.89</v>
      </c>
      <c r="L197" s="6">
        <v>-40029.89</v>
      </c>
      <c r="M197" s="3" t="s">
        <v>1383</v>
      </c>
      <c r="N197" s="18" t="s">
        <v>933</v>
      </c>
      <c r="O197" s="5" t="s">
        <v>221</v>
      </c>
      <c r="P197" s="5" t="s">
        <v>109</v>
      </c>
      <c r="Q197" s="5" t="s">
        <v>1384</v>
      </c>
      <c r="R197" s="5" t="s">
        <v>221</v>
      </c>
    </row>
    <row r="198" spans="1:18" ht="13.05" customHeight="1" x14ac:dyDescent="0.3">
      <c r="A198" s="3" t="s">
        <v>10</v>
      </c>
      <c r="B198" s="3" t="s">
        <v>11</v>
      </c>
      <c r="C198" s="4" t="s">
        <v>12</v>
      </c>
      <c r="D198" s="3" t="s">
        <v>929</v>
      </c>
      <c r="E198" s="4" t="s">
        <v>12</v>
      </c>
      <c r="F198" s="3" t="s">
        <v>112</v>
      </c>
      <c r="G198" s="3" t="s">
        <v>935</v>
      </c>
      <c r="H198" s="3"/>
      <c r="I198" s="3" t="s">
        <v>1382</v>
      </c>
      <c r="J198" s="3" t="s">
        <v>1382</v>
      </c>
      <c r="K198" s="6">
        <v>-228.69</v>
      </c>
      <c r="L198" s="6">
        <v>-228.69</v>
      </c>
      <c r="M198" s="3" t="s">
        <v>1385</v>
      </c>
      <c r="N198" s="18" t="s">
        <v>933</v>
      </c>
      <c r="O198" s="5" t="s">
        <v>221</v>
      </c>
      <c r="P198" s="5" t="s">
        <v>113</v>
      </c>
      <c r="Q198" s="5" t="s">
        <v>1386</v>
      </c>
      <c r="R198" s="5" t="s">
        <v>221</v>
      </c>
    </row>
    <row r="199" spans="1:18" ht="13.05" customHeight="1" x14ac:dyDescent="0.3">
      <c r="A199" s="3" t="s">
        <v>10</v>
      </c>
      <c r="B199" s="3" t="s">
        <v>11</v>
      </c>
      <c r="C199" s="4" t="s">
        <v>12</v>
      </c>
      <c r="D199" s="3" t="s">
        <v>929</v>
      </c>
      <c r="E199" s="4" t="s">
        <v>12</v>
      </c>
      <c r="F199" s="3" t="s">
        <v>114</v>
      </c>
      <c r="G199" s="3" t="s">
        <v>938</v>
      </c>
      <c r="H199" s="3"/>
      <c r="I199" s="3" t="s">
        <v>1382</v>
      </c>
      <c r="J199" s="3" t="s">
        <v>1382</v>
      </c>
      <c r="K199" s="6">
        <v>-304.92</v>
      </c>
      <c r="L199" s="6">
        <v>-304.92</v>
      </c>
      <c r="M199" s="3" t="s">
        <v>1387</v>
      </c>
      <c r="N199" s="18" t="s">
        <v>933</v>
      </c>
      <c r="O199" s="5" t="s">
        <v>221</v>
      </c>
      <c r="P199" s="5" t="s">
        <v>115</v>
      </c>
      <c r="Q199" s="5" t="s">
        <v>1388</v>
      </c>
      <c r="R199" s="5" t="s">
        <v>221</v>
      </c>
    </row>
    <row r="200" spans="1:18" ht="13.05" customHeight="1" x14ac:dyDescent="0.3">
      <c r="A200" s="3" t="s">
        <v>10</v>
      </c>
      <c r="B200" s="3" t="s">
        <v>11</v>
      </c>
      <c r="C200" s="4" t="s">
        <v>12</v>
      </c>
      <c r="D200" s="3" t="s">
        <v>929</v>
      </c>
      <c r="E200" s="4" t="s">
        <v>12</v>
      </c>
      <c r="F200" s="3" t="s">
        <v>118</v>
      </c>
      <c r="G200" s="3" t="s">
        <v>1389</v>
      </c>
      <c r="H200" s="3"/>
      <c r="I200" s="3" t="s">
        <v>1382</v>
      </c>
      <c r="J200" s="3" t="s">
        <v>1382</v>
      </c>
      <c r="K200" s="6">
        <v>-571.86</v>
      </c>
      <c r="L200" s="6">
        <v>-571.86</v>
      </c>
      <c r="M200" s="3" t="s">
        <v>1390</v>
      </c>
      <c r="N200" s="18" t="s">
        <v>933</v>
      </c>
      <c r="O200" s="5" t="s">
        <v>221</v>
      </c>
      <c r="P200" s="5" t="s">
        <v>119</v>
      </c>
      <c r="Q200" s="5" t="s">
        <v>1391</v>
      </c>
      <c r="R200" s="5" t="s">
        <v>221</v>
      </c>
    </row>
    <row r="201" spans="1:18" ht="13.05" customHeight="1" x14ac:dyDescent="0.3">
      <c r="A201" s="3" t="s">
        <v>10</v>
      </c>
      <c r="B201" s="3" t="s">
        <v>11</v>
      </c>
      <c r="C201" s="4" t="s">
        <v>12</v>
      </c>
      <c r="D201" s="3" t="s">
        <v>929</v>
      </c>
      <c r="E201" s="4" t="s">
        <v>12</v>
      </c>
      <c r="F201" s="3" t="s">
        <v>124</v>
      </c>
      <c r="G201" s="3" t="s">
        <v>944</v>
      </c>
      <c r="H201" s="3"/>
      <c r="I201" s="3" t="s">
        <v>1382</v>
      </c>
      <c r="J201" s="3" t="s">
        <v>1382</v>
      </c>
      <c r="K201" s="6">
        <v>-1705.08</v>
      </c>
      <c r="L201" s="6">
        <v>-1705.08</v>
      </c>
      <c r="M201" s="3" t="s">
        <v>1392</v>
      </c>
      <c r="N201" s="18" t="s">
        <v>933</v>
      </c>
      <c r="O201" s="5" t="s">
        <v>221</v>
      </c>
      <c r="P201" s="5" t="s">
        <v>125</v>
      </c>
      <c r="Q201" s="5" t="s">
        <v>1393</v>
      </c>
      <c r="R201" s="5" t="s">
        <v>221</v>
      </c>
    </row>
    <row r="202" spans="1:18" ht="13.05" customHeight="1" x14ac:dyDescent="0.3">
      <c r="A202" s="3" t="s">
        <v>10</v>
      </c>
      <c r="B202" s="3" t="s">
        <v>11</v>
      </c>
      <c r="C202" s="4" t="s">
        <v>12</v>
      </c>
      <c r="D202" s="3" t="s">
        <v>929</v>
      </c>
      <c r="E202" s="4" t="s">
        <v>12</v>
      </c>
      <c r="F202" s="3" t="s">
        <v>126</v>
      </c>
      <c r="G202" s="3" t="s">
        <v>947</v>
      </c>
      <c r="H202" s="3"/>
      <c r="I202" s="3" t="s">
        <v>1382</v>
      </c>
      <c r="J202" s="3" t="s">
        <v>1382</v>
      </c>
      <c r="K202" s="6">
        <v>-2964.48</v>
      </c>
      <c r="L202" s="6">
        <v>-2964.48</v>
      </c>
      <c r="M202" s="3" t="s">
        <v>1394</v>
      </c>
      <c r="N202" s="18" t="s">
        <v>933</v>
      </c>
      <c r="O202" s="5" t="s">
        <v>221</v>
      </c>
      <c r="P202" s="5" t="s">
        <v>127</v>
      </c>
      <c r="Q202" s="5" t="s">
        <v>1395</v>
      </c>
      <c r="R202" s="5" t="s">
        <v>221</v>
      </c>
    </row>
    <row r="203" spans="1:18" ht="13.05" customHeight="1" x14ac:dyDescent="0.3">
      <c r="A203" s="3" t="s">
        <v>10</v>
      </c>
      <c r="B203" s="3" t="s">
        <v>11</v>
      </c>
      <c r="C203" s="4" t="s">
        <v>12</v>
      </c>
      <c r="D203" s="3" t="s">
        <v>929</v>
      </c>
      <c r="E203" s="4" t="s">
        <v>12</v>
      </c>
      <c r="F203" s="3" t="s">
        <v>140</v>
      </c>
      <c r="G203" s="3" t="s">
        <v>1004</v>
      </c>
      <c r="H203" s="3"/>
      <c r="I203" s="3" t="s">
        <v>1382</v>
      </c>
      <c r="J203" s="3" t="s">
        <v>1382</v>
      </c>
      <c r="K203" s="6">
        <v>-63.52</v>
      </c>
      <c r="L203" s="6">
        <v>-63.52</v>
      </c>
      <c r="M203" s="3" t="s">
        <v>1396</v>
      </c>
      <c r="N203" s="18" t="s">
        <v>933</v>
      </c>
      <c r="O203" s="5" t="s">
        <v>221</v>
      </c>
      <c r="P203" s="5" t="s">
        <v>141</v>
      </c>
      <c r="Q203" s="5" t="s">
        <v>1397</v>
      </c>
      <c r="R203" s="5" t="s">
        <v>221</v>
      </c>
    </row>
    <row r="204" spans="1:18" ht="13.05" customHeight="1" x14ac:dyDescent="0.3">
      <c r="A204" s="3" t="s">
        <v>10</v>
      </c>
      <c r="B204" s="3" t="s">
        <v>11</v>
      </c>
      <c r="C204" s="4" t="s">
        <v>12</v>
      </c>
      <c r="D204" s="3" t="s">
        <v>929</v>
      </c>
      <c r="E204" s="4" t="s">
        <v>12</v>
      </c>
      <c r="F204" s="3" t="s">
        <v>144</v>
      </c>
      <c r="G204" s="3" t="s">
        <v>1398</v>
      </c>
      <c r="H204" s="3"/>
      <c r="I204" s="3" t="s">
        <v>1382</v>
      </c>
      <c r="J204" s="3" t="s">
        <v>1382</v>
      </c>
      <c r="K204" s="6">
        <v>-4288.92</v>
      </c>
      <c r="L204" s="6">
        <v>-4288.92</v>
      </c>
      <c r="M204" s="3" t="s">
        <v>1399</v>
      </c>
      <c r="N204" s="18" t="s">
        <v>933</v>
      </c>
      <c r="O204" s="5" t="s">
        <v>221</v>
      </c>
      <c r="P204" s="5" t="s">
        <v>145</v>
      </c>
      <c r="Q204" s="5" t="s">
        <v>1400</v>
      </c>
      <c r="R204" s="5" t="s">
        <v>221</v>
      </c>
    </row>
    <row r="205" spans="1:18" ht="13.05" customHeight="1" x14ac:dyDescent="0.3">
      <c r="A205" s="3" t="s">
        <v>10</v>
      </c>
      <c r="B205" s="3" t="s">
        <v>11</v>
      </c>
      <c r="C205" s="4" t="s">
        <v>12</v>
      </c>
      <c r="D205" s="3" t="s">
        <v>929</v>
      </c>
      <c r="E205" s="4" t="s">
        <v>12</v>
      </c>
      <c r="F205" s="3" t="s">
        <v>150</v>
      </c>
      <c r="G205" s="3" t="s">
        <v>1014</v>
      </c>
      <c r="H205" s="3"/>
      <c r="I205" s="3" t="s">
        <v>1382</v>
      </c>
      <c r="J205" s="3" t="s">
        <v>1382</v>
      </c>
      <c r="K205" s="6">
        <v>-931.69</v>
      </c>
      <c r="L205" s="6">
        <v>-931.69</v>
      </c>
      <c r="M205" s="3" t="s">
        <v>1401</v>
      </c>
      <c r="N205" s="18" t="s">
        <v>933</v>
      </c>
      <c r="O205" s="5" t="s">
        <v>221</v>
      </c>
      <c r="P205" s="5" t="s">
        <v>151</v>
      </c>
      <c r="Q205" s="5" t="s">
        <v>1402</v>
      </c>
      <c r="R205" s="5" t="s">
        <v>221</v>
      </c>
    </row>
    <row r="206" spans="1:18" ht="13.05" customHeight="1" x14ac:dyDescent="0.3">
      <c r="A206" s="3" t="s">
        <v>10</v>
      </c>
      <c r="B206" s="3" t="s">
        <v>11</v>
      </c>
      <c r="C206" s="4" t="s">
        <v>12</v>
      </c>
      <c r="D206" s="3" t="s">
        <v>929</v>
      </c>
      <c r="E206" s="4" t="s">
        <v>12</v>
      </c>
      <c r="F206" s="3" t="s">
        <v>154</v>
      </c>
      <c r="G206" s="3" t="s">
        <v>962</v>
      </c>
      <c r="H206" s="3"/>
      <c r="I206" s="3" t="s">
        <v>1382</v>
      </c>
      <c r="J206" s="3" t="s">
        <v>1382</v>
      </c>
      <c r="K206" s="6">
        <v>-850.11</v>
      </c>
      <c r="L206" s="6">
        <v>-850.11</v>
      </c>
      <c r="M206" s="3" t="s">
        <v>1403</v>
      </c>
      <c r="N206" s="18" t="s">
        <v>933</v>
      </c>
      <c r="O206" s="5" t="s">
        <v>221</v>
      </c>
      <c r="P206" s="5" t="s">
        <v>155</v>
      </c>
      <c r="Q206" s="5" t="s">
        <v>1404</v>
      </c>
      <c r="R206" s="5" t="s">
        <v>221</v>
      </c>
    </row>
    <row r="207" spans="1:18" ht="13.05" customHeight="1" x14ac:dyDescent="0.3">
      <c r="A207" s="3" t="s">
        <v>10</v>
      </c>
      <c r="B207" s="3" t="s">
        <v>11</v>
      </c>
      <c r="C207" s="4" t="s">
        <v>12</v>
      </c>
      <c r="D207" s="3" t="s">
        <v>929</v>
      </c>
      <c r="E207" s="4" t="s">
        <v>12</v>
      </c>
      <c r="F207" s="3" t="s">
        <v>170</v>
      </c>
      <c r="G207" s="3" t="s">
        <v>1405</v>
      </c>
      <c r="H207" s="3"/>
      <c r="I207" s="3" t="s">
        <v>1382</v>
      </c>
      <c r="J207" s="3" t="s">
        <v>1382</v>
      </c>
      <c r="K207" s="6">
        <v>-1028.8800000000001</v>
      </c>
      <c r="L207" s="6">
        <v>-1028.8800000000001</v>
      </c>
      <c r="M207" s="3" t="s">
        <v>1406</v>
      </c>
      <c r="N207" s="18" t="s">
        <v>933</v>
      </c>
      <c r="O207" s="5" t="s">
        <v>221</v>
      </c>
      <c r="P207" s="5" t="s">
        <v>171</v>
      </c>
      <c r="Q207" s="5" t="s">
        <v>1407</v>
      </c>
      <c r="R207" s="5" t="s">
        <v>221</v>
      </c>
    </row>
    <row r="208" spans="1:18" ht="13.05" customHeight="1" x14ac:dyDescent="0.3">
      <c r="A208" s="3" t="s">
        <v>10</v>
      </c>
      <c r="B208" s="3" t="s">
        <v>11</v>
      </c>
      <c r="C208" s="4" t="s">
        <v>12</v>
      </c>
      <c r="D208" s="3" t="s">
        <v>929</v>
      </c>
      <c r="E208" s="4" t="s">
        <v>12</v>
      </c>
      <c r="F208" s="3" t="s">
        <v>174</v>
      </c>
      <c r="G208" s="3" t="s">
        <v>968</v>
      </c>
      <c r="H208" s="3"/>
      <c r="I208" s="3" t="s">
        <v>1382</v>
      </c>
      <c r="J208" s="3" t="s">
        <v>1382</v>
      </c>
      <c r="K208" s="6">
        <v>-559.02</v>
      </c>
      <c r="L208" s="6">
        <v>-559.02</v>
      </c>
      <c r="M208" s="3" t="s">
        <v>1408</v>
      </c>
      <c r="N208" s="18" t="s">
        <v>933</v>
      </c>
      <c r="O208" s="5" t="s">
        <v>221</v>
      </c>
      <c r="P208" s="5" t="s">
        <v>175</v>
      </c>
      <c r="Q208" s="5" t="s">
        <v>1409</v>
      </c>
      <c r="R208" s="5" t="s">
        <v>221</v>
      </c>
    </row>
    <row r="209" spans="1:18" ht="13.05" customHeight="1" x14ac:dyDescent="0.3">
      <c r="A209" s="3" t="s">
        <v>10</v>
      </c>
      <c r="B209" s="3" t="s">
        <v>11</v>
      </c>
      <c r="C209" s="4" t="s">
        <v>12</v>
      </c>
      <c r="D209" s="3" t="s">
        <v>929</v>
      </c>
      <c r="E209" s="4" t="s">
        <v>12</v>
      </c>
      <c r="F209" s="3" t="s">
        <v>174</v>
      </c>
      <c r="G209" s="3" t="s">
        <v>965</v>
      </c>
      <c r="H209" s="3"/>
      <c r="I209" s="3" t="s">
        <v>1382</v>
      </c>
      <c r="J209" s="3" t="s">
        <v>1382</v>
      </c>
      <c r="K209" s="6">
        <v>-577.95000000000005</v>
      </c>
      <c r="L209" s="6">
        <v>-577.95000000000005</v>
      </c>
      <c r="M209" s="3" t="s">
        <v>1410</v>
      </c>
      <c r="N209" s="18" t="s">
        <v>933</v>
      </c>
      <c r="O209" s="5" t="s">
        <v>221</v>
      </c>
      <c r="P209" s="5" t="s">
        <v>175</v>
      </c>
      <c r="Q209" s="5" t="s">
        <v>1411</v>
      </c>
      <c r="R209" s="5" t="s">
        <v>221</v>
      </c>
    </row>
    <row r="210" spans="1:18" ht="13.05" customHeight="1" x14ac:dyDescent="0.3">
      <c r="A210" s="3" t="s">
        <v>10</v>
      </c>
      <c r="B210" s="3" t="s">
        <v>11</v>
      </c>
      <c r="C210" s="4" t="s">
        <v>12</v>
      </c>
      <c r="D210" s="3" t="s">
        <v>929</v>
      </c>
      <c r="E210" s="4" t="s">
        <v>12</v>
      </c>
      <c r="F210" s="3" t="s">
        <v>176</v>
      </c>
      <c r="G210" s="3" t="s">
        <v>971</v>
      </c>
      <c r="H210" s="3"/>
      <c r="I210" s="3" t="s">
        <v>1382</v>
      </c>
      <c r="J210" s="3" t="s">
        <v>1382</v>
      </c>
      <c r="K210" s="6">
        <v>-2257.5700000000002</v>
      </c>
      <c r="L210" s="6">
        <v>-2257.5700000000002</v>
      </c>
      <c r="M210" s="3" t="s">
        <v>1412</v>
      </c>
      <c r="N210" s="18" t="s">
        <v>933</v>
      </c>
      <c r="O210" s="5" t="s">
        <v>221</v>
      </c>
      <c r="P210" s="5" t="s">
        <v>177</v>
      </c>
      <c r="Q210" s="5" t="s">
        <v>1413</v>
      </c>
      <c r="R210" s="5" t="s">
        <v>221</v>
      </c>
    </row>
    <row r="211" spans="1:18" ht="13.05" customHeight="1" x14ac:dyDescent="0.3">
      <c r="A211" s="3" t="s">
        <v>10</v>
      </c>
      <c r="B211" s="3" t="s">
        <v>11</v>
      </c>
      <c r="C211" s="4" t="s">
        <v>12</v>
      </c>
      <c r="D211" s="3" t="s">
        <v>929</v>
      </c>
      <c r="E211" s="4" t="s">
        <v>12</v>
      </c>
      <c r="F211" s="3" t="s">
        <v>183</v>
      </c>
      <c r="G211" s="3" t="s">
        <v>974</v>
      </c>
      <c r="H211" s="3"/>
      <c r="I211" s="3" t="s">
        <v>1382</v>
      </c>
      <c r="J211" s="3" t="s">
        <v>1382</v>
      </c>
      <c r="K211" s="6">
        <v>-371.92</v>
      </c>
      <c r="L211" s="6">
        <v>-371.92</v>
      </c>
      <c r="M211" s="3" t="s">
        <v>1414</v>
      </c>
      <c r="N211" s="18" t="s">
        <v>933</v>
      </c>
      <c r="O211" s="5" t="s">
        <v>221</v>
      </c>
      <c r="P211" s="5" t="s">
        <v>184</v>
      </c>
      <c r="Q211" s="5" t="s">
        <v>1415</v>
      </c>
      <c r="R211" s="5" t="s">
        <v>221</v>
      </c>
    </row>
    <row r="212" spans="1:18" ht="13.05" customHeight="1" x14ac:dyDescent="0.3">
      <c r="A212" s="3" t="s">
        <v>10</v>
      </c>
      <c r="B212" s="3" t="s">
        <v>11</v>
      </c>
      <c r="C212" s="4" t="s">
        <v>12</v>
      </c>
      <c r="D212" s="3" t="s">
        <v>929</v>
      </c>
      <c r="E212" s="4" t="s">
        <v>12</v>
      </c>
      <c r="F212" s="3" t="s">
        <v>185</v>
      </c>
      <c r="G212" s="3" t="s">
        <v>977</v>
      </c>
      <c r="H212" s="3"/>
      <c r="I212" s="3" t="s">
        <v>1382</v>
      </c>
      <c r="J212" s="3" t="s">
        <v>1382</v>
      </c>
      <c r="K212" s="6">
        <v>-217.68</v>
      </c>
      <c r="L212" s="6">
        <v>-217.68</v>
      </c>
      <c r="M212" s="3" t="s">
        <v>1416</v>
      </c>
      <c r="N212" s="18" t="s">
        <v>933</v>
      </c>
      <c r="O212" s="5" t="s">
        <v>221</v>
      </c>
      <c r="P212" s="5" t="s">
        <v>186</v>
      </c>
      <c r="Q212" s="5" t="s">
        <v>1417</v>
      </c>
      <c r="R212" s="5" t="s">
        <v>221</v>
      </c>
    </row>
    <row r="213" spans="1:18" ht="13.05" customHeight="1" x14ac:dyDescent="0.3">
      <c r="A213" s="3" t="s">
        <v>10</v>
      </c>
      <c r="B213" s="3" t="s">
        <v>11</v>
      </c>
      <c r="C213" s="4" t="s">
        <v>12</v>
      </c>
      <c r="D213" s="3" t="s">
        <v>929</v>
      </c>
      <c r="E213" s="4" t="s">
        <v>12</v>
      </c>
      <c r="F213" s="3" t="s">
        <v>197</v>
      </c>
      <c r="G213" s="3" t="s">
        <v>986</v>
      </c>
      <c r="H213" s="3"/>
      <c r="I213" s="3" t="s">
        <v>1382</v>
      </c>
      <c r="J213" s="3" t="s">
        <v>1382</v>
      </c>
      <c r="K213" s="6">
        <v>-87.67</v>
      </c>
      <c r="L213" s="6">
        <v>-87.67</v>
      </c>
      <c r="M213" s="3" t="s">
        <v>1418</v>
      </c>
      <c r="N213" s="18" t="s">
        <v>933</v>
      </c>
      <c r="O213" s="5" t="s">
        <v>221</v>
      </c>
      <c r="P213" s="5" t="s">
        <v>198</v>
      </c>
      <c r="Q213" s="5" t="s">
        <v>1419</v>
      </c>
      <c r="R213" s="5" t="s">
        <v>221</v>
      </c>
    </row>
    <row r="214" spans="1:18" ht="13.05" customHeight="1" x14ac:dyDescent="0.3">
      <c r="A214" s="3" t="s">
        <v>10</v>
      </c>
      <c r="B214" s="3" t="s">
        <v>11</v>
      </c>
      <c r="C214" s="4" t="s">
        <v>12</v>
      </c>
      <c r="D214" s="3" t="s">
        <v>929</v>
      </c>
      <c r="E214" s="4" t="s">
        <v>12</v>
      </c>
      <c r="F214" s="3" t="s">
        <v>107</v>
      </c>
      <c r="G214" s="3" t="s">
        <v>1420</v>
      </c>
      <c r="H214" s="3"/>
      <c r="I214" s="3" t="s">
        <v>679</v>
      </c>
      <c r="J214" s="3" t="s">
        <v>679</v>
      </c>
      <c r="K214" s="6">
        <v>-38722.86</v>
      </c>
      <c r="L214" s="6">
        <v>-38722.86</v>
      </c>
      <c r="M214" s="3" t="s">
        <v>1421</v>
      </c>
      <c r="N214" s="18" t="s">
        <v>933</v>
      </c>
      <c r="O214" s="5" t="s">
        <v>221</v>
      </c>
      <c r="P214" s="5" t="s">
        <v>109</v>
      </c>
      <c r="Q214" s="5" t="s">
        <v>1422</v>
      </c>
      <c r="R214" s="5" t="s">
        <v>221</v>
      </c>
    </row>
    <row r="215" spans="1:18" ht="13.05" customHeight="1" x14ac:dyDescent="0.3">
      <c r="A215" s="3" t="s">
        <v>10</v>
      </c>
      <c r="B215" s="3" t="s">
        <v>11</v>
      </c>
      <c r="C215" s="4" t="s">
        <v>12</v>
      </c>
      <c r="D215" s="3" t="s">
        <v>929</v>
      </c>
      <c r="E215" s="4" t="s">
        <v>12</v>
      </c>
      <c r="F215" s="3" t="s">
        <v>112</v>
      </c>
      <c r="G215" s="3" t="s">
        <v>1144</v>
      </c>
      <c r="H215" s="3"/>
      <c r="I215" s="3" t="s">
        <v>679</v>
      </c>
      <c r="J215" s="3" t="s">
        <v>679</v>
      </c>
      <c r="K215" s="6">
        <v>-221.31</v>
      </c>
      <c r="L215" s="6">
        <v>-221.31</v>
      </c>
      <c r="M215" s="3" t="s">
        <v>1423</v>
      </c>
      <c r="N215" s="18" t="s">
        <v>933</v>
      </c>
      <c r="O215" s="5" t="s">
        <v>221</v>
      </c>
      <c r="P215" s="5" t="s">
        <v>113</v>
      </c>
      <c r="Q215" s="5" t="s">
        <v>1424</v>
      </c>
      <c r="R215" s="5" t="s">
        <v>221</v>
      </c>
    </row>
    <row r="216" spans="1:18" ht="13.05" customHeight="1" x14ac:dyDescent="0.3">
      <c r="A216" s="3" t="s">
        <v>10</v>
      </c>
      <c r="B216" s="3" t="s">
        <v>11</v>
      </c>
      <c r="C216" s="4" t="s">
        <v>12</v>
      </c>
      <c r="D216" s="3" t="s">
        <v>929</v>
      </c>
      <c r="E216" s="4" t="s">
        <v>12</v>
      </c>
      <c r="F216" s="3" t="s">
        <v>114</v>
      </c>
      <c r="G216" s="3" t="s">
        <v>1147</v>
      </c>
      <c r="H216" s="3"/>
      <c r="I216" s="3" t="s">
        <v>679</v>
      </c>
      <c r="J216" s="3" t="s">
        <v>679</v>
      </c>
      <c r="K216" s="6">
        <v>-295.08</v>
      </c>
      <c r="L216" s="6">
        <v>-295.08</v>
      </c>
      <c r="M216" s="3" t="s">
        <v>1425</v>
      </c>
      <c r="N216" s="18" t="s">
        <v>933</v>
      </c>
      <c r="O216" s="5" t="s">
        <v>221</v>
      </c>
      <c r="P216" s="5" t="s">
        <v>115</v>
      </c>
      <c r="Q216" s="5" t="s">
        <v>1426</v>
      </c>
      <c r="R216" s="5" t="s">
        <v>221</v>
      </c>
    </row>
    <row r="217" spans="1:18" ht="13.05" customHeight="1" x14ac:dyDescent="0.3">
      <c r="A217" s="3" t="s">
        <v>10</v>
      </c>
      <c r="B217" s="3" t="s">
        <v>11</v>
      </c>
      <c r="C217" s="4" t="s">
        <v>12</v>
      </c>
      <c r="D217" s="3" t="s">
        <v>929</v>
      </c>
      <c r="E217" s="4" t="s">
        <v>12</v>
      </c>
      <c r="F217" s="3" t="s">
        <v>118</v>
      </c>
      <c r="G217" s="3" t="s">
        <v>1427</v>
      </c>
      <c r="H217" s="3"/>
      <c r="I217" s="3" t="s">
        <v>679</v>
      </c>
      <c r="J217" s="3" t="s">
        <v>679</v>
      </c>
      <c r="K217" s="6">
        <v>-553.17999999999995</v>
      </c>
      <c r="L217" s="6">
        <v>-553.17999999999995</v>
      </c>
      <c r="M217" s="3" t="s">
        <v>1428</v>
      </c>
      <c r="N217" s="18" t="s">
        <v>933</v>
      </c>
      <c r="O217" s="5" t="s">
        <v>221</v>
      </c>
      <c r="P217" s="5" t="s">
        <v>119</v>
      </c>
      <c r="Q217" s="5" t="s">
        <v>1429</v>
      </c>
      <c r="R217" s="5" t="s">
        <v>221</v>
      </c>
    </row>
    <row r="218" spans="1:18" ht="13.05" customHeight="1" x14ac:dyDescent="0.3">
      <c r="A218" s="3" t="s">
        <v>10</v>
      </c>
      <c r="B218" s="3" t="s">
        <v>11</v>
      </c>
      <c r="C218" s="4" t="s">
        <v>12</v>
      </c>
      <c r="D218" s="3" t="s">
        <v>929</v>
      </c>
      <c r="E218" s="4" t="s">
        <v>12</v>
      </c>
      <c r="F218" s="3" t="s">
        <v>124</v>
      </c>
      <c r="G218" s="3" t="s">
        <v>1153</v>
      </c>
      <c r="H218" s="3"/>
      <c r="I218" s="3" t="s">
        <v>679</v>
      </c>
      <c r="J218" s="3" t="s">
        <v>679</v>
      </c>
      <c r="K218" s="6">
        <v>-1650.08</v>
      </c>
      <c r="L218" s="6">
        <v>-1650.08</v>
      </c>
      <c r="M218" s="3" t="s">
        <v>1430</v>
      </c>
      <c r="N218" s="18" t="s">
        <v>933</v>
      </c>
      <c r="O218" s="5" t="s">
        <v>221</v>
      </c>
      <c r="P218" s="5" t="s">
        <v>125</v>
      </c>
      <c r="Q218" s="5" t="s">
        <v>1431</v>
      </c>
      <c r="R218" s="5" t="s">
        <v>221</v>
      </c>
    </row>
    <row r="219" spans="1:18" ht="13.05" customHeight="1" x14ac:dyDescent="0.3">
      <c r="A219" s="3" t="s">
        <v>10</v>
      </c>
      <c r="B219" s="3" t="s">
        <v>11</v>
      </c>
      <c r="C219" s="4" t="s">
        <v>12</v>
      </c>
      <c r="D219" s="3" t="s">
        <v>929</v>
      </c>
      <c r="E219" s="4" t="s">
        <v>12</v>
      </c>
      <c r="F219" s="3" t="s">
        <v>126</v>
      </c>
      <c r="G219" s="3" t="s">
        <v>1156</v>
      </c>
      <c r="H219" s="3"/>
      <c r="I219" s="3" t="s">
        <v>679</v>
      </c>
      <c r="J219" s="3" t="s">
        <v>679</v>
      </c>
      <c r="K219" s="6">
        <v>-2868.85</v>
      </c>
      <c r="L219" s="6">
        <v>-2868.85</v>
      </c>
      <c r="M219" s="3" t="s">
        <v>1432</v>
      </c>
      <c r="N219" s="18" t="s">
        <v>933</v>
      </c>
      <c r="O219" s="5" t="s">
        <v>221</v>
      </c>
      <c r="P219" s="5" t="s">
        <v>127</v>
      </c>
      <c r="Q219" s="5" t="s">
        <v>1433</v>
      </c>
      <c r="R219" s="5" t="s">
        <v>221</v>
      </c>
    </row>
    <row r="220" spans="1:18" ht="13.05" customHeight="1" x14ac:dyDescent="0.3">
      <c r="A220" s="3" t="s">
        <v>10</v>
      </c>
      <c r="B220" s="3" t="s">
        <v>11</v>
      </c>
      <c r="C220" s="4" t="s">
        <v>12</v>
      </c>
      <c r="D220" s="3" t="s">
        <v>929</v>
      </c>
      <c r="E220" s="4" t="s">
        <v>12</v>
      </c>
      <c r="F220" s="3" t="s">
        <v>132</v>
      </c>
      <c r="G220" s="3" t="s">
        <v>1159</v>
      </c>
      <c r="H220" s="3"/>
      <c r="I220" s="3" t="s">
        <v>679</v>
      </c>
      <c r="J220" s="3" t="s">
        <v>679</v>
      </c>
      <c r="K220" s="6">
        <v>-551.07000000000005</v>
      </c>
      <c r="L220" s="6">
        <v>-551.07000000000005</v>
      </c>
      <c r="M220" s="3" t="s">
        <v>1434</v>
      </c>
      <c r="N220" s="18" t="s">
        <v>933</v>
      </c>
      <c r="O220" s="5" t="s">
        <v>221</v>
      </c>
      <c r="P220" s="5" t="s">
        <v>133</v>
      </c>
      <c r="Q220" s="5" t="s">
        <v>1435</v>
      </c>
      <c r="R220" s="5" t="s">
        <v>221</v>
      </c>
    </row>
    <row r="221" spans="1:18" ht="13.05" customHeight="1" x14ac:dyDescent="0.3">
      <c r="A221" s="3" t="s">
        <v>10</v>
      </c>
      <c r="B221" s="3" t="s">
        <v>11</v>
      </c>
      <c r="C221" s="4" t="s">
        <v>12</v>
      </c>
      <c r="D221" s="3" t="s">
        <v>929</v>
      </c>
      <c r="E221" s="4" t="s">
        <v>12</v>
      </c>
      <c r="F221" s="3" t="s">
        <v>140</v>
      </c>
      <c r="G221" s="3" t="s">
        <v>1162</v>
      </c>
      <c r="H221" s="3"/>
      <c r="I221" s="3" t="s">
        <v>679</v>
      </c>
      <c r="J221" s="3" t="s">
        <v>679</v>
      </c>
      <c r="K221" s="6">
        <v>-61.48</v>
      </c>
      <c r="L221" s="6">
        <v>-61.48</v>
      </c>
      <c r="M221" s="3" t="s">
        <v>1436</v>
      </c>
      <c r="N221" s="18" t="s">
        <v>933</v>
      </c>
      <c r="O221" s="5" t="s">
        <v>221</v>
      </c>
      <c r="P221" s="5" t="s">
        <v>141</v>
      </c>
      <c r="Q221" s="5" t="s">
        <v>1437</v>
      </c>
      <c r="R221" s="5" t="s">
        <v>221</v>
      </c>
    </row>
    <row r="222" spans="1:18" ht="13.05" customHeight="1" x14ac:dyDescent="0.3">
      <c r="A222" s="3" t="s">
        <v>10</v>
      </c>
      <c r="B222" s="3" t="s">
        <v>11</v>
      </c>
      <c r="C222" s="4" t="s">
        <v>12</v>
      </c>
      <c r="D222" s="3" t="s">
        <v>929</v>
      </c>
      <c r="E222" s="4" t="s">
        <v>12</v>
      </c>
      <c r="F222" s="3" t="s">
        <v>144</v>
      </c>
      <c r="G222" s="3" t="s">
        <v>1438</v>
      </c>
      <c r="H222" s="3"/>
      <c r="I222" s="3" t="s">
        <v>679</v>
      </c>
      <c r="J222" s="3" t="s">
        <v>679</v>
      </c>
      <c r="K222" s="6">
        <v>-4148.88</v>
      </c>
      <c r="L222" s="6">
        <v>-4148.88</v>
      </c>
      <c r="M222" s="3" t="s">
        <v>1439</v>
      </c>
      <c r="N222" s="18" t="s">
        <v>933</v>
      </c>
      <c r="O222" s="5" t="s">
        <v>221</v>
      </c>
      <c r="P222" s="5" t="s">
        <v>145</v>
      </c>
      <c r="Q222" s="5" t="s">
        <v>1440</v>
      </c>
      <c r="R222" s="5" t="s">
        <v>221</v>
      </c>
    </row>
    <row r="223" spans="1:18" ht="13.05" customHeight="1" x14ac:dyDescent="0.3">
      <c r="A223" s="3" t="s">
        <v>10</v>
      </c>
      <c r="B223" s="3" t="s">
        <v>11</v>
      </c>
      <c r="C223" s="4" t="s">
        <v>12</v>
      </c>
      <c r="D223" s="3" t="s">
        <v>929</v>
      </c>
      <c r="E223" s="4" t="s">
        <v>12</v>
      </c>
      <c r="F223" s="3" t="s">
        <v>146</v>
      </c>
      <c r="G223" s="3" t="s">
        <v>1168</v>
      </c>
      <c r="H223" s="3"/>
      <c r="I223" s="3" t="s">
        <v>679</v>
      </c>
      <c r="J223" s="3" t="s">
        <v>679</v>
      </c>
      <c r="K223" s="6">
        <v>-1134.22</v>
      </c>
      <c r="L223" s="6">
        <v>-1134.22</v>
      </c>
      <c r="M223" s="3" t="s">
        <v>1441</v>
      </c>
      <c r="N223" s="18" t="s">
        <v>933</v>
      </c>
      <c r="O223" s="5" t="s">
        <v>221</v>
      </c>
      <c r="P223" s="5" t="s">
        <v>147</v>
      </c>
      <c r="Q223" s="5" t="s">
        <v>1442</v>
      </c>
      <c r="R223" s="5" t="s">
        <v>221</v>
      </c>
    </row>
    <row r="224" spans="1:18" ht="13.05" customHeight="1" x14ac:dyDescent="0.3">
      <c r="A224" s="3" t="s">
        <v>10</v>
      </c>
      <c r="B224" s="3" t="s">
        <v>11</v>
      </c>
      <c r="C224" s="4" t="s">
        <v>12</v>
      </c>
      <c r="D224" s="3" t="s">
        <v>929</v>
      </c>
      <c r="E224" s="4" t="s">
        <v>12</v>
      </c>
      <c r="F224" s="3" t="s">
        <v>148</v>
      </c>
      <c r="G224" s="3" t="s">
        <v>1171</v>
      </c>
      <c r="H224" s="3"/>
      <c r="I224" s="3" t="s">
        <v>679</v>
      </c>
      <c r="J224" s="3" t="s">
        <v>679</v>
      </c>
      <c r="K224" s="6">
        <v>-51.43</v>
      </c>
      <c r="L224" s="6">
        <v>-51.43</v>
      </c>
      <c r="M224" s="3" t="s">
        <v>1443</v>
      </c>
      <c r="N224" s="18" t="s">
        <v>933</v>
      </c>
      <c r="O224" s="5" t="s">
        <v>221</v>
      </c>
      <c r="P224" s="5" t="s">
        <v>149</v>
      </c>
      <c r="Q224" s="5" t="s">
        <v>1444</v>
      </c>
      <c r="R224" s="5" t="s">
        <v>221</v>
      </c>
    </row>
    <row r="225" spans="1:18" ht="13.05" customHeight="1" x14ac:dyDescent="0.3">
      <c r="A225" s="3" t="s">
        <v>10</v>
      </c>
      <c r="B225" s="3" t="s">
        <v>11</v>
      </c>
      <c r="C225" s="4" t="s">
        <v>12</v>
      </c>
      <c r="D225" s="3" t="s">
        <v>929</v>
      </c>
      <c r="E225" s="4" t="s">
        <v>12</v>
      </c>
      <c r="F225" s="3" t="s">
        <v>150</v>
      </c>
      <c r="G225" s="3" t="s">
        <v>1174</v>
      </c>
      <c r="H225" s="3"/>
      <c r="I225" s="3" t="s">
        <v>679</v>
      </c>
      <c r="J225" s="3" t="s">
        <v>679</v>
      </c>
      <c r="K225" s="6">
        <v>-901.64</v>
      </c>
      <c r="L225" s="6">
        <v>-901.64</v>
      </c>
      <c r="M225" s="3" t="s">
        <v>1445</v>
      </c>
      <c r="N225" s="18" t="s">
        <v>933</v>
      </c>
      <c r="O225" s="5" t="s">
        <v>221</v>
      </c>
      <c r="P225" s="5" t="s">
        <v>151</v>
      </c>
      <c r="Q225" s="5" t="s">
        <v>1446</v>
      </c>
      <c r="R225" s="5" t="s">
        <v>221</v>
      </c>
    </row>
    <row r="226" spans="1:18" ht="13.05" customHeight="1" x14ac:dyDescent="0.3">
      <c r="A226" s="3" t="s">
        <v>10</v>
      </c>
      <c r="B226" s="3" t="s">
        <v>11</v>
      </c>
      <c r="C226" s="4" t="s">
        <v>12</v>
      </c>
      <c r="D226" s="3" t="s">
        <v>929</v>
      </c>
      <c r="E226" s="4" t="s">
        <v>12</v>
      </c>
      <c r="F226" s="3" t="s">
        <v>152</v>
      </c>
      <c r="G226" s="3" t="s">
        <v>1447</v>
      </c>
      <c r="H226" s="3"/>
      <c r="I226" s="3" t="s">
        <v>679</v>
      </c>
      <c r="J226" s="3" t="s">
        <v>679</v>
      </c>
      <c r="K226" s="6">
        <v>-1250</v>
      </c>
      <c r="L226" s="6">
        <v>-1250</v>
      </c>
      <c r="M226" s="3" t="s">
        <v>1448</v>
      </c>
      <c r="N226" s="18" t="s">
        <v>933</v>
      </c>
      <c r="O226" s="5" t="s">
        <v>221</v>
      </c>
      <c r="P226" s="5" t="s">
        <v>153</v>
      </c>
      <c r="Q226" s="5" t="s">
        <v>1449</v>
      </c>
      <c r="R226" s="5" t="s">
        <v>221</v>
      </c>
    </row>
    <row r="227" spans="1:18" ht="13.05" customHeight="1" x14ac:dyDescent="0.3">
      <c r="A227" s="3" t="s">
        <v>10</v>
      </c>
      <c r="B227" s="3" t="s">
        <v>11</v>
      </c>
      <c r="C227" s="4" t="s">
        <v>12</v>
      </c>
      <c r="D227" s="3" t="s">
        <v>929</v>
      </c>
      <c r="E227" s="4" t="s">
        <v>12</v>
      </c>
      <c r="F227" s="3" t="s">
        <v>154</v>
      </c>
      <c r="G227" s="3" t="s">
        <v>1177</v>
      </c>
      <c r="H227" s="3"/>
      <c r="I227" s="3" t="s">
        <v>679</v>
      </c>
      <c r="J227" s="3" t="s">
        <v>679</v>
      </c>
      <c r="K227" s="6">
        <v>-822.69</v>
      </c>
      <c r="L227" s="6">
        <v>-822.69</v>
      </c>
      <c r="M227" s="3" t="s">
        <v>1450</v>
      </c>
      <c r="N227" s="18" t="s">
        <v>933</v>
      </c>
      <c r="O227" s="5" t="s">
        <v>221</v>
      </c>
      <c r="P227" s="5" t="s">
        <v>155</v>
      </c>
      <c r="Q227" s="5" t="s">
        <v>1451</v>
      </c>
      <c r="R227" s="5" t="s">
        <v>221</v>
      </c>
    </row>
    <row r="228" spans="1:18" ht="13.05" customHeight="1" x14ac:dyDescent="0.3">
      <c r="A228" s="3" t="s">
        <v>10</v>
      </c>
      <c r="B228" s="3" t="s">
        <v>11</v>
      </c>
      <c r="C228" s="4" t="s">
        <v>12</v>
      </c>
      <c r="D228" s="3" t="s">
        <v>929</v>
      </c>
      <c r="E228" s="4" t="s">
        <v>12</v>
      </c>
      <c r="F228" s="3" t="s">
        <v>170</v>
      </c>
      <c r="G228" s="3" t="s">
        <v>1452</v>
      </c>
      <c r="H228" s="3"/>
      <c r="I228" s="3" t="s">
        <v>679</v>
      </c>
      <c r="J228" s="3" t="s">
        <v>679</v>
      </c>
      <c r="K228" s="6">
        <v>-995.69</v>
      </c>
      <c r="L228" s="6">
        <v>-995.69</v>
      </c>
      <c r="M228" s="3" t="s">
        <v>1453</v>
      </c>
      <c r="N228" s="18" t="s">
        <v>933</v>
      </c>
      <c r="O228" s="5" t="s">
        <v>221</v>
      </c>
      <c r="P228" s="5" t="s">
        <v>171</v>
      </c>
      <c r="Q228" s="5" t="s">
        <v>1454</v>
      </c>
      <c r="R228" s="5" t="s">
        <v>221</v>
      </c>
    </row>
    <row r="229" spans="1:18" ht="13.05" customHeight="1" x14ac:dyDescent="0.3">
      <c r="A229" s="3" t="s">
        <v>10</v>
      </c>
      <c r="B229" s="3" t="s">
        <v>11</v>
      </c>
      <c r="C229" s="4" t="s">
        <v>12</v>
      </c>
      <c r="D229" s="3" t="s">
        <v>929</v>
      </c>
      <c r="E229" s="4" t="s">
        <v>12</v>
      </c>
      <c r="F229" s="3" t="s">
        <v>174</v>
      </c>
      <c r="G229" s="3" t="s">
        <v>1183</v>
      </c>
      <c r="H229" s="3"/>
      <c r="I229" s="3" t="s">
        <v>679</v>
      </c>
      <c r="J229" s="3" t="s">
        <v>679</v>
      </c>
      <c r="K229" s="6">
        <v>-540.98</v>
      </c>
      <c r="L229" s="6">
        <v>-540.98</v>
      </c>
      <c r="M229" s="3" t="s">
        <v>1455</v>
      </c>
      <c r="N229" s="18" t="s">
        <v>933</v>
      </c>
      <c r="O229" s="5" t="s">
        <v>221</v>
      </c>
      <c r="P229" s="5" t="s">
        <v>175</v>
      </c>
      <c r="Q229" s="5" t="s">
        <v>1456</v>
      </c>
      <c r="R229" s="5" t="s">
        <v>221</v>
      </c>
    </row>
    <row r="230" spans="1:18" ht="13.05" customHeight="1" x14ac:dyDescent="0.3">
      <c r="A230" s="3" t="s">
        <v>10</v>
      </c>
      <c r="B230" s="3" t="s">
        <v>11</v>
      </c>
      <c r="C230" s="4" t="s">
        <v>12</v>
      </c>
      <c r="D230" s="3" t="s">
        <v>929</v>
      </c>
      <c r="E230" s="4" t="s">
        <v>12</v>
      </c>
      <c r="F230" s="3" t="s">
        <v>174</v>
      </c>
      <c r="G230" s="3" t="s">
        <v>1180</v>
      </c>
      <c r="H230" s="3"/>
      <c r="I230" s="3" t="s">
        <v>679</v>
      </c>
      <c r="J230" s="3" t="s">
        <v>679</v>
      </c>
      <c r="K230" s="6">
        <v>-559.29999999999995</v>
      </c>
      <c r="L230" s="6">
        <v>-559.29999999999995</v>
      </c>
      <c r="M230" s="3" t="s">
        <v>1457</v>
      </c>
      <c r="N230" s="18" t="s">
        <v>933</v>
      </c>
      <c r="O230" s="5" t="s">
        <v>221</v>
      </c>
      <c r="P230" s="5" t="s">
        <v>175</v>
      </c>
      <c r="Q230" s="5" t="s">
        <v>1458</v>
      </c>
      <c r="R230" s="5" t="s">
        <v>221</v>
      </c>
    </row>
    <row r="231" spans="1:18" ht="13.05" customHeight="1" x14ac:dyDescent="0.3">
      <c r="A231" s="3" t="s">
        <v>10</v>
      </c>
      <c r="B231" s="3" t="s">
        <v>11</v>
      </c>
      <c r="C231" s="4" t="s">
        <v>12</v>
      </c>
      <c r="D231" s="3" t="s">
        <v>929</v>
      </c>
      <c r="E231" s="4" t="s">
        <v>12</v>
      </c>
      <c r="F231" s="3" t="s">
        <v>176</v>
      </c>
      <c r="G231" s="3" t="s">
        <v>1186</v>
      </c>
      <c r="H231" s="3"/>
      <c r="I231" s="3" t="s">
        <v>679</v>
      </c>
      <c r="J231" s="3" t="s">
        <v>679</v>
      </c>
      <c r="K231" s="6">
        <v>-2184.7399999999998</v>
      </c>
      <c r="L231" s="6">
        <v>-2184.7399999999998</v>
      </c>
      <c r="M231" s="3" t="s">
        <v>1459</v>
      </c>
      <c r="N231" s="18" t="s">
        <v>933</v>
      </c>
      <c r="O231" s="5" t="s">
        <v>221</v>
      </c>
      <c r="P231" s="5" t="s">
        <v>177</v>
      </c>
      <c r="Q231" s="5" t="s">
        <v>1460</v>
      </c>
      <c r="R231" s="5" t="s">
        <v>221</v>
      </c>
    </row>
    <row r="232" spans="1:18" ht="13.05" customHeight="1" x14ac:dyDescent="0.3">
      <c r="A232" s="3" t="s">
        <v>10</v>
      </c>
      <c r="B232" s="3" t="s">
        <v>11</v>
      </c>
      <c r="C232" s="4" t="s">
        <v>12</v>
      </c>
      <c r="D232" s="3" t="s">
        <v>929</v>
      </c>
      <c r="E232" s="4" t="s">
        <v>12</v>
      </c>
      <c r="F232" s="3" t="s">
        <v>183</v>
      </c>
      <c r="G232" s="3" t="s">
        <v>1189</v>
      </c>
      <c r="H232" s="3"/>
      <c r="I232" s="3" t="s">
        <v>679</v>
      </c>
      <c r="J232" s="3" t="s">
        <v>679</v>
      </c>
      <c r="K232" s="6">
        <v>-359.93</v>
      </c>
      <c r="L232" s="6">
        <v>-359.93</v>
      </c>
      <c r="M232" s="3" t="s">
        <v>1461</v>
      </c>
      <c r="N232" s="18" t="s">
        <v>933</v>
      </c>
      <c r="O232" s="5" t="s">
        <v>221</v>
      </c>
      <c r="P232" s="5" t="s">
        <v>184</v>
      </c>
      <c r="Q232" s="5" t="s">
        <v>1462</v>
      </c>
      <c r="R232" s="5" t="s">
        <v>221</v>
      </c>
    </row>
    <row r="233" spans="1:18" ht="13.05" customHeight="1" x14ac:dyDescent="0.3">
      <c r="A233" s="3" t="s">
        <v>10</v>
      </c>
      <c r="B233" s="3" t="s">
        <v>11</v>
      </c>
      <c r="C233" s="4" t="s">
        <v>12</v>
      </c>
      <c r="D233" s="3" t="s">
        <v>929</v>
      </c>
      <c r="E233" s="4" t="s">
        <v>12</v>
      </c>
      <c r="F233" s="3" t="s">
        <v>185</v>
      </c>
      <c r="G233" s="3" t="s">
        <v>1192</v>
      </c>
      <c r="H233" s="3"/>
      <c r="I233" s="3" t="s">
        <v>679</v>
      </c>
      <c r="J233" s="3" t="s">
        <v>679</v>
      </c>
      <c r="K233" s="6">
        <v>-210.66</v>
      </c>
      <c r="L233" s="6">
        <v>-210.66</v>
      </c>
      <c r="M233" s="3" t="s">
        <v>1463</v>
      </c>
      <c r="N233" s="18" t="s">
        <v>933</v>
      </c>
      <c r="O233" s="5" t="s">
        <v>221</v>
      </c>
      <c r="P233" s="5" t="s">
        <v>186</v>
      </c>
      <c r="Q233" s="5" t="s">
        <v>1464</v>
      </c>
      <c r="R233" s="5" t="s">
        <v>221</v>
      </c>
    </row>
    <row r="234" spans="1:18" ht="13.05" customHeight="1" x14ac:dyDescent="0.3">
      <c r="A234" s="3" t="s">
        <v>10</v>
      </c>
      <c r="B234" s="3" t="s">
        <v>11</v>
      </c>
      <c r="C234" s="4" t="s">
        <v>12</v>
      </c>
      <c r="D234" s="3" t="s">
        <v>929</v>
      </c>
      <c r="E234" s="4" t="s">
        <v>12</v>
      </c>
      <c r="F234" s="3" t="s">
        <v>193</v>
      </c>
      <c r="G234" s="3" t="s">
        <v>1198</v>
      </c>
      <c r="H234" s="3"/>
      <c r="I234" s="3" t="s">
        <v>679</v>
      </c>
      <c r="J234" s="3" t="s">
        <v>679</v>
      </c>
      <c r="K234" s="6">
        <v>-75.61</v>
      </c>
      <c r="L234" s="6">
        <v>-75.61</v>
      </c>
      <c r="M234" s="3" t="s">
        <v>1465</v>
      </c>
      <c r="N234" s="18" t="s">
        <v>933</v>
      </c>
      <c r="O234" s="5" t="s">
        <v>221</v>
      </c>
      <c r="P234" s="5" t="s">
        <v>194</v>
      </c>
      <c r="Q234" s="5" t="s">
        <v>1466</v>
      </c>
      <c r="R234" s="5" t="s">
        <v>221</v>
      </c>
    </row>
    <row r="235" spans="1:18" ht="13.05" customHeight="1" x14ac:dyDescent="0.3">
      <c r="A235" s="3" t="s">
        <v>10</v>
      </c>
      <c r="B235" s="3" t="s">
        <v>11</v>
      </c>
      <c r="C235" s="4" t="s">
        <v>12</v>
      </c>
      <c r="D235" s="3" t="s">
        <v>929</v>
      </c>
      <c r="E235" s="4" t="s">
        <v>12</v>
      </c>
      <c r="F235" s="3" t="s">
        <v>197</v>
      </c>
      <c r="G235" s="3" t="s">
        <v>1201</v>
      </c>
      <c r="H235" s="3"/>
      <c r="I235" s="3" t="s">
        <v>679</v>
      </c>
      <c r="J235" s="3" t="s">
        <v>679</v>
      </c>
      <c r="K235" s="6">
        <v>-84.84</v>
      </c>
      <c r="L235" s="6">
        <v>-84.84</v>
      </c>
      <c r="M235" s="3" t="s">
        <v>1467</v>
      </c>
      <c r="N235" s="18" t="s">
        <v>933</v>
      </c>
      <c r="O235" s="5" t="s">
        <v>221</v>
      </c>
      <c r="P235" s="5" t="s">
        <v>198</v>
      </c>
      <c r="Q235" s="5" t="s">
        <v>1468</v>
      </c>
      <c r="R235" s="5" t="s">
        <v>221</v>
      </c>
    </row>
    <row r="237" spans="1:18" ht="13.05" customHeight="1" x14ac:dyDescent="0.3">
      <c r="A237" s="14" t="s">
        <v>1469</v>
      </c>
      <c r="B237" s="14" t="s">
        <v>1470</v>
      </c>
      <c r="C237" s="14" t="s">
        <v>636</v>
      </c>
      <c r="D237" s="14" t="s">
        <v>1471</v>
      </c>
      <c r="E237" s="14" t="s">
        <v>924</v>
      </c>
    </row>
    <row r="238" spans="1:18" ht="13.05" customHeight="1" x14ac:dyDescent="0.3">
      <c r="A238" s="3"/>
      <c r="B238" s="4" t="s">
        <v>12</v>
      </c>
      <c r="C238" s="3" t="s">
        <v>931</v>
      </c>
      <c r="D238" s="6">
        <v>-53936.29</v>
      </c>
      <c r="E238" s="6">
        <v>-53936.29</v>
      </c>
    </row>
    <row r="239" spans="1:18" ht="13.05" customHeight="1" x14ac:dyDescent="0.3">
      <c r="A239" s="3"/>
      <c r="B239" s="4" t="s">
        <v>12</v>
      </c>
      <c r="C239" s="3" t="s">
        <v>990</v>
      </c>
      <c r="D239" s="6">
        <v>-56739.33</v>
      </c>
      <c r="E239" s="6">
        <v>-56739.33</v>
      </c>
    </row>
    <row r="240" spans="1:18" ht="13.05" customHeight="1" x14ac:dyDescent="0.3">
      <c r="A240" s="3"/>
      <c r="B240" s="4" t="s">
        <v>12</v>
      </c>
      <c r="C240" s="3" t="s">
        <v>1036</v>
      </c>
      <c r="D240" s="6">
        <v>-52227.98</v>
      </c>
      <c r="E240" s="6">
        <v>-52227.98</v>
      </c>
    </row>
    <row r="241" spans="1:5" ht="13.05" customHeight="1" x14ac:dyDescent="0.3">
      <c r="A241" s="3"/>
      <c r="B241" s="4" t="s">
        <v>12</v>
      </c>
      <c r="C241" s="3" t="s">
        <v>1094</v>
      </c>
      <c r="D241" s="6">
        <v>-63354.63</v>
      </c>
      <c r="E241" s="6">
        <v>-63354.63</v>
      </c>
    </row>
    <row r="242" spans="1:5" ht="13.05" customHeight="1" x14ac:dyDescent="0.3">
      <c r="A242" s="3"/>
      <c r="B242" s="4" t="s">
        <v>12</v>
      </c>
      <c r="C242" s="3" t="s">
        <v>1141</v>
      </c>
      <c r="D242" s="6">
        <v>-56456.25</v>
      </c>
      <c r="E242" s="6">
        <v>-56456.25</v>
      </c>
    </row>
    <row r="243" spans="1:5" ht="13.05" customHeight="1" x14ac:dyDescent="0.3">
      <c r="A243" s="3"/>
      <c r="B243" s="4" t="s">
        <v>12</v>
      </c>
      <c r="C243" s="3" t="s">
        <v>1205</v>
      </c>
      <c r="D243" s="6">
        <v>-58283.199999999997</v>
      </c>
      <c r="E243" s="6">
        <v>-58283.199999999997</v>
      </c>
    </row>
    <row r="244" spans="1:5" ht="13.05" customHeight="1" x14ac:dyDescent="0.3">
      <c r="A244" s="3"/>
      <c r="B244" s="4" t="s">
        <v>12</v>
      </c>
      <c r="C244" s="3" t="s">
        <v>1251</v>
      </c>
      <c r="D244" s="6">
        <v>-58451.67</v>
      </c>
      <c r="E244" s="6">
        <v>-58451.67</v>
      </c>
    </row>
    <row r="245" spans="1:5" ht="13.05" customHeight="1" x14ac:dyDescent="0.3">
      <c r="A245" s="3"/>
      <c r="B245" s="4" t="s">
        <v>12</v>
      </c>
      <c r="C245" s="3" t="s">
        <v>1302</v>
      </c>
      <c r="D245" s="6">
        <v>-55716.59</v>
      </c>
      <c r="E245" s="6">
        <v>-55716.59</v>
      </c>
    </row>
    <row r="246" spans="1:5" ht="13.05" customHeight="1" x14ac:dyDescent="0.3">
      <c r="A246" s="3"/>
      <c r="B246" s="4" t="s">
        <v>12</v>
      </c>
      <c r="C246" s="3" t="s">
        <v>1336</v>
      </c>
      <c r="D246" s="6">
        <v>-55953.24</v>
      </c>
      <c r="E246" s="6">
        <v>-55953.24</v>
      </c>
    </row>
    <row r="247" spans="1:5" ht="13.05" customHeight="1" x14ac:dyDescent="0.3">
      <c r="A247" s="3"/>
      <c r="B247" s="4" t="s">
        <v>12</v>
      </c>
      <c r="C247" s="3" t="s">
        <v>1360</v>
      </c>
      <c r="D247" s="6">
        <v>-54308.959999999999</v>
      </c>
      <c r="E247" s="6">
        <v>-54308.959999999999</v>
      </c>
    </row>
    <row r="248" spans="1:5" ht="13.05" customHeight="1" x14ac:dyDescent="0.3">
      <c r="A248" s="3"/>
      <c r="B248" s="4" t="s">
        <v>12</v>
      </c>
      <c r="C248" s="3" t="s">
        <v>1382</v>
      </c>
      <c r="D248" s="6">
        <v>-57039.85</v>
      </c>
      <c r="E248" s="6">
        <v>-57039.85</v>
      </c>
    </row>
    <row r="249" spans="1:5" ht="13.05" customHeight="1" x14ac:dyDescent="0.3">
      <c r="A249" s="3"/>
      <c r="B249" s="4" t="s">
        <v>12</v>
      </c>
      <c r="C249" s="3" t="s">
        <v>679</v>
      </c>
      <c r="D249" s="6">
        <v>-58244.52</v>
      </c>
      <c r="E249" s="6">
        <v>-58244.52</v>
      </c>
    </row>
    <row r="250" spans="1:5" x14ac:dyDescent="0.3">
      <c r="A250" s="3"/>
      <c r="B250" s="4"/>
      <c r="C250" s="3"/>
      <c r="D250" s="6"/>
      <c r="E250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4.4" x14ac:dyDescent="0.3"/>
  <cols>
    <col min="1" max="1" width="14" customWidth="1"/>
    <col min="2" max="2" width="28" customWidth="1"/>
    <col min="3" max="4" width="14" customWidth="1"/>
    <col min="5" max="7" width="28" customWidth="1"/>
    <col min="8" max="15" width="14" customWidth="1"/>
    <col min="16" max="16" width="28" customWidth="1"/>
    <col min="17" max="20" width="14" customWidth="1"/>
    <col min="21" max="21" width="28" customWidth="1"/>
    <col min="22" max="24" width="14" customWidth="1"/>
  </cols>
  <sheetData>
    <row r="1" spans="1:25" ht="36" customHeight="1" x14ac:dyDescent="0.3">
      <c r="A1" s="1" t="s">
        <v>0</v>
      </c>
      <c r="B1" s="1" t="s">
        <v>1</v>
      </c>
      <c r="C1" s="1" t="s">
        <v>2</v>
      </c>
      <c r="D1" s="1" t="s">
        <v>926</v>
      </c>
      <c r="E1" s="1" t="s">
        <v>919</v>
      </c>
      <c r="F1" s="1" t="s">
        <v>1472</v>
      </c>
      <c r="G1" s="1" t="s">
        <v>921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635</v>
      </c>
      <c r="N1" s="1" t="s">
        <v>636</v>
      </c>
      <c r="O1" s="1" t="s">
        <v>530</v>
      </c>
      <c r="P1" s="1" t="s">
        <v>1478</v>
      </c>
      <c r="Q1" s="1" t="s">
        <v>1479</v>
      </c>
      <c r="R1" s="1" t="s">
        <v>1480</v>
      </c>
      <c r="S1" s="1" t="s">
        <v>1481</v>
      </c>
      <c r="T1" s="1" t="s">
        <v>1482</v>
      </c>
      <c r="U1" s="1" t="s">
        <v>1483</v>
      </c>
      <c r="V1" s="1" t="s">
        <v>1484</v>
      </c>
      <c r="W1" s="1" t="s">
        <v>1485</v>
      </c>
      <c r="X1" s="2" t="s">
        <v>1486</v>
      </c>
      <c r="Y1" s="2" t="s">
        <v>1487</v>
      </c>
    </row>
    <row r="3" spans="1:25" x14ac:dyDescent="0.3">
      <c r="A3" s="14" t="s">
        <v>914</v>
      </c>
      <c r="B3" s="14" t="s">
        <v>915</v>
      </c>
      <c r="C3" s="14" t="s">
        <v>1470</v>
      </c>
      <c r="D3" s="14" t="s">
        <v>1488</v>
      </c>
      <c r="E3" s="14" t="s">
        <v>1489</v>
      </c>
      <c r="F3" s="14" t="s">
        <v>1490</v>
      </c>
      <c r="G3" s="1" t="s">
        <v>1491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4.4" x14ac:dyDescent="0.3"/>
  <cols>
    <col min="1" max="1" width="10" customWidth="1"/>
    <col min="2" max="19" width="28" customWidth="1"/>
  </cols>
  <sheetData>
    <row r="1" spans="1:18" ht="24" customHeight="1" x14ac:dyDescent="0.3">
      <c r="A1" s="1" t="s">
        <v>0</v>
      </c>
      <c r="B1" s="1" t="s">
        <v>1492</v>
      </c>
      <c r="C1" s="1" t="s">
        <v>418</v>
      </c>
      <c r="D1" s="1" t="s">
        <v>1493</v>
      </c>
      <c r="E1" s="1" t="s">
        <v>1494</v>
      </c>
      <c r="F1" s="1" t="s">
        <v>1486</v>
      </c>
      <c r="G1" s="1" t="s">
        <v>1495</v>
      </c>
      <c r="H1" s="1" t="s">
        <v>1496</v>
      </c>
      <c r="I1" s="1" t="s">
        <v>1497</v>
      </c>
      <c r="J1" s="1" t="s">
        <v>1498</v>
      </c>
      <c r="K1" s="1" t="s">
        <v>1499</v>
      </c>
      <c r="L1" s="1" t="s">
        <v>1500</v>
      </c>
      <c r="M1" s="1" t="s">
        <v>1501</v>
      </c>
      <c r="N1" s="1" t="s">
        <v>1502</v>
      </c>
      <c r="O1" s="1" t="s">
        <v>1503</v>
      </c>
      <c r="P1" s="1" t="s">
        <v>1504</v>
      </c>
      <c r="Q1" s="1" t="s">
        <v>1505</v>
      </c>
      <c r="R1" s="1" t="s">
        <v>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Fund</vt:lpstr>
      <vt:lpstr>NAV</vt:lpstr>
      <vt:lpstr>Position</vt:lpstr>
      <vt:lpstr>NAV Breakdown</vt:lpstr>
      <vt:lpstr>P&amp;L Breakdown</vt:lpstr>
      <vt:lpstr>Cash Position</vt:lpstr>
      <vt:lpstr>Impact Synthesis</vt:lpstr>
      <vt:lpstr>Impact Top Down</vt:lpstr>
      <vt:lpstr>Transactions</vt:lpstr>
      <vt:lpstr>Nav Adjusting Entries</vt:lpstr>
      <vt:lpstr>Exchange rates</vt:lpstr>
      <vt:lpstr>Fees Accruals</vt:lpstr>
      <vt:lpstr>Outstanding Items</vt:lpstr>
      <vt:lpstr>Share Class Hedging</vt:lpstr>
      <vt:lpstr>Collateral data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a92194</dc:creator>
  <cp:lastModifiedBy>Ajitha Balan</cp:lastModifiedBy>
  <dcterms:created xsi:type="dcterms:W3CDTF">2025-01-14T13:42:14Z</dcterms:created>
  <dcterms:modified xsi:type="dcterms:W3CDTF">2025-11-13T10:12:02Z</dcterms:modified>
</cp:coreProperties>
</file>